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ASESYS\bDesarollo\SAN5\AL\src\efe\"/>
    </mc:Choice>
  </mc:AlternateContent>
  <xr:revisionPtr revIDLastSave="0" documentId="13_ncr:1_{A28AEA7E-107F-42BB-9D66-188D46875330}" xr6:coauthVersionLast="47" xr6:coauthVersionMax="47" xr10:uidLastSave="{00000000-0000-0000-0000-000000000000}"/>
  <bookViews>
    <workbookView xWindow="-120" yWindow="-120" windowWidth="29040" windowHeight="15720" activeTab="1" xr2:uid="{26CDED95-9F3A-4E2D-8592-20792CAC67BF}"/>
  </bookViews>
  <sheets>
    <sheet name="Emcabezado" sheetId="1" r:id="rId1"/>
    <sheet name="Detalle" sheetId="2" r:id="rId2"/>
    <sheet name="TRANSA01" sheetId="3" r:id="rId3"/>
    <sheet name="TRADETAL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1" i="2"/>
</calcChain>
</file>

<file path=xl/sharedStrings.xml><?xml version="1.0" encoding="utf-8"?>
<sst xmlns="http://schemas.openxmlformats.org/spreadsheetml/2006/main" count="3984" uniqueCount="262">
  <si>
    <t>empresa</t>
  </si>
  <si>
    <t>fecha</t>
  </si>
  <si>
    <t>tipo</t>
  </si>
  <si>
    <t>numero</t>
  </si>
  <si>
    <t>documento</t>
  </si>
  <si>
    <t>cliente</t>
  </si>
  <si>
    <t>suplidor</t>
  </si>
  <si>
    <t>itbis</t>
  </si>
  <si>
    <t>flete</t>
  </si>
  <si>
    <t>descuen</t>
  </si>
  <si>
    <t>vendedor</t>
  </si>
  <si>
    <t>zona</t>
  </si>
  <si>
    <t>provincia</t>
  </si>
  <si>
    <t>almacen</t>
  </si>
  <si>
    <t>socio</t>
  </si>
  <si>
    <t>promotor</t>
  </si>
  <si>
    <t>almacen1</t>
  </si>
  <si>
    <t>comision</t>
  </si>
  <si>
    <t>sucursal1</t>
  </si>
  <si>
    <t>cnttransa</t>
  </si>
  <si>
    <t>idsucursal</t>
  </si>
  <si>
    <t>tasa</t>
  </si>
  <si>
    <t>clasifica2</t>
  </si>
  <si>
    <t>Arancel</t>
  </si>
  <si>
    <t>gasto1</t>
  </si>
  <si>
    <t>ordenp</t>
  </si>
  <si>
    <t>movimiento</t>
  </si>
  <si>
    <t>producto</t>
  </si>
  <si>
    <t>cantidad</t>
  </si>
  <si>
    <t>precio</t>
  </si>
  <si>
    <t>precio1</t>
  </si>
  <si>
    <t>costo1</t>
  </si>
  <si>
    <t>costo2</t>
  </si>
  <si>
    <t>monto1</t>
  </si>
  <si>
    <t>monto2</t>
  </si>
  <si>
    <t>montoitbis</t>
  </si>
  <si>
    <t>montodesc</t>
  </si>
  <si>
    <t>posteo</t>
  </si>
  <si>
    <t>orden</t>
  </si>
  <si>
    <t>oferta</t>
  </si>
  <si>
    <t>montodesc1</t>
  </si>
  <si>
    <t>ficha</t>
  </si>
  <si>
    <t>ficha1</t>
  </si>
  <si>
    <t>precio2</t>
  </si>
  <si>
    <t>precio3</t>
  </si>
  <si>
    <t>precio4</t>
  </si>
  <si>
    <t>costop</t>
  </si>
  <si>
    <t>serial</t>
  </si>
  <si>
    <t>costopro</t>
  </si>
  <si>
    <t>doferta</t>
  </si>
  <si>
    <t>mangafin</t>
  </si>
  <si>
    <t>mangaini</t>
  </si>
  <si>
    <t>cantidad1</t>
  </si>
  <si>
    <t>presentacion</t>
  </si>
  <si>
    <t>unidad2</t>
  </si>
  <si>
    <t>cantUnidad</t>
  </si>
  <si>
    <t>cantidad2</t>
  </si>
  <si>
    <t>idunidadp</t>
  </si>
  <si>
    <t>nivelprecio</t>
  </si>
  <si>
    <t>ptodescuento</t>
  </si>
  <si>
    <t>almacen2</t>
  </si>
  <si>
    <t>Digitado</t>
  </si>
  <si>
    <t>comision1</t>
  </si>
  <si>
    <t>gasto2</t>
  </si>
  <si>
    <t>preciot1</t>
  </si>
  <si>
    <t>preciot2</t>
  </si>
  <si>
    <t>preciot3</t>
  </si>
  <si>
    <t>preciot4</t>
  </si>
  <si>
    <t>municipio</t>
  </si>
  <si>
    <t>retorno</t>
  </si>
  <si>
    <t>credito</t>
  </si>
  <si>
    <t>contado</t>
  </si>
  <si>
    <t>costo1us</t>
  </si>
  <si>
    <t>suma</t>
  </si>
  <si>
    <t>refe</t>
  </si>
  <si>
    <t>monto3</t>
  </si>
  <si>
    <t>fechahora</t>
  </si>
  <si>
    <t>TipoDoc</t>
  </si>
  <si>
    <t>idN</t>
  </si>
  <si>
    <t>SubCantidad</t>
  </si>
  <si>
    <t>CodigoSubCantidad</t>
  </si>
  <si>
    <t>GradosAlcohol</t>
  </si>
  <si>
    <t>PrecioUnitarioReferencia</t>
  </si>
  <si>
    <t>TipoImpuesto1</t>
  </si>
  <si>
    <t>TipoImpuesto2</t>
  </si>
  <si>
    <t>TasaImpuestoAdicional1</t>
  </si>
  <si>
    <t>TasaImpuestoAdicional2</t>
  </si>
  <si>
    <t>MontoImpuestoSelectivoConsumoEspe1</t>
  </si>
  <si>
    <t>MontoImpuestoSelectivoConsumoEspe2</t>
  </si>
  <si>
    <t>MontoImpuestoSelectivoConsumoAdvrem</t>
  </si>
  <si>
    <t>BienServicio</t>
  </si>
  <si>
    <t>OtroImpuestosAdicionales1</t>
  </si>
  <si>
    <t>OtroImpuestosAdicionales2</t>
  </si>
  <si>
    <t>TipoSubRecargo</t>
  </si>
  <si>
    <t>MontoSubRecargo</t>
  </si>
  <si>
    <t>TipoCodigo</t>
  </si>
  <si>
    <t>CodigoItem</t>
  </si>
  <si>
    <t>DescripcionItem</t>
  </si>
  <si>
    <t>"</t>
  </si>
  <si>
    <t>:</t>
  </si>
  <si>
    <t>,</t>
  </si>
  <si>
    <t>"columna_csv1": ("columna_db1", "TEXT"),</t>
  </si>
  <si>
    <t>)</t>
  </si>
  <si>
    <t>(</t>
  </si>
  <si>
    <t xml:space="preserve"> TEXT</t>
  </si>
  <si>
    <t xml:space="preserve"> INTEGER</t>
  </si>
  <si>
    <t xml:space="preserve"> DATETIME</t>
  </si>
  <si>
    <t xml:space="preserve"> REAL</t>
  </si>
  <si>
    <t xml:space="preserve">	empresa</t>
  </si>
  <si>
    <t xml:space="preserve">	fecha</t>
  </si>
  <si>
    <t xml:space="preserve">	tipo</t>
  </si>
  <si>
    <t xml:space="preserve">	numero</t>
  </si>
  <si>
    <t xml:space="preserve">	documento</t>
  </si>
  <si>
    <t xml:space="preserve">	documento1</t>
  </si>
  <si>
    <t xml:space="preserve">	turno1</t>
  </si>
  <si>
    <t xml:space="preserve">	ncf</t>
  </si>
  <si>
    <t xml:space="preserve">	cliente</t>
  </si>
  <si>
    <t xml:space="preserve">	suplidor</t>
  </si>
  <si>
    <t xml:space="preserve">	termino</t>
  </si>
  <si>
    <t xml:space="preserve">	dia</t>
  </si>
  <si>
    <t xml:space="preserve">	dia1</t>
  </si>
  <si>
    <t xml:space="preserve">	vence</t>
  </si>
  <si>
    <t xml:space="preserve">	digitado</t>
  </si>
  <si>
    <t xml:space="preserve">	itbis</t>
  </si>
  <si>
    <t xml:space="preserve">	fechadesc</t>
  </si>
  <si>
    <t xml:space="preserve">	otros</t>
  </si>
  <si>
    <t xml:space="preserve">	flete</t>
  </si>
  <si>
    <t xml:space="preserve">	descuen</t>
  </si>
  <si>
    <t xml:space="preserve">	nograva</t>
  </si>
  <si>
    <t xml:space="preserve">	grava</t>
  </si>
  <si>
    <t xml:space="preserve">	monto</t>
  </si>
  <si>
    <t xml:space="preserve">	total</t>
  </si>
  <si>
    <t xml:space="preserve">	balance</t>
  </si>
  <si>
    <t xml:space="preserve">	nombre</t>
  </si>
  <si>
    <t xml:space="preserve">	vendedor</t>
  </si>
  <si>
    <t xml:space="preserve">	vendedor1</t>
  </si>
  <si>
    <t xml:space="preserve">	venname</t>
  </si>
  <si>
    <t xml:space="preserve">	zona</t>
  </si>
  <si>
    <t xml:space="preserve">	pedido</t>
  </si>
  <si>
    <t xml:space="preserve">	conduce</t>
  </si>
  <si>
    <t xml:space="preserve">	observa</t>
  </si>
  <si>
    <t xml:space="preserve">	validado</t>
  </si>
  <si>
    <t xml:space="preserve">	posteado</t>
  </si>
  <si>
    <t xml:space="preserve">	efectivo</t>
  </si>
  <si>
    <t xml:space="preserve">	cheque</t>
  </si>
  <si>
    <t xml:space="preserve">	tarjeta</t>
  </si>
  <si>
    <t xml:space="preserve">	gastos</t>
  </si>
  <si>
    <t xml:space="preserve">	nulo</t>
  </si>
  <si>
    <t xml:space="preserve">	ABIERTO</t>
  </si>
  <si>
    <t xml:space="preserve">	ENVIADO</t>
  </si>
  <si>
    <t xml:space="preserve">	despacho</t>
  </si>
  <si>
    <t xml:space="preserve">	provincia</t>
  </si>
  <si>
    <t xml:space="preserve">	almacen</t>
  </si>
  <si>
    <t xml:space="preserve">	POSTEO</t>
  </si>
  <si>
    <t xml:space="preserve">	socio</t>
  </si>
  <si>
    <t xml:space="preserve">	creado</t>
  </si>
  <si>
    <t xml:space="preserve">	dsc</t>
  </si>
  <si>
    <t xml:space="preserve">	prnc</t>
  </si>
  <si>
    <t xml:space="preserve">	prn</t>
  </si>
  <si>
    <t xml:space="preserve">	observa1</t>
  </si>
  <si>
    <t xml:space="preserve">	usuario</t>
  </si>
  <si>
    <t xml:space="preserve">	chofer</t>
  </si>
  <si>
    <t xml:space="preserve">	promotor</t>
  </si>
  <si>
    <t xml:space="preserve">	cajero</t>
  </si>
  <si>
    <t xml:space="preserve">	descrip1</t>
  </si>
  <si>
    <t xml:space="preserve">	descrip2</t>
  </si>
  <si>
    <t xml:space="preserve">	turno</t>
  </si>
  <si>
    <t xml:space="preserve">	almacen1</t>
  </si>
  <si>
    <t xml:space="preserve">	fecham</t>
  </si>
  <si>
    <t xml:space="preserve">	fechavalidado</t>
  </si>
  <si>
    <t xml:space="preserve">	dire</t>
  </si>
  <si>
    <t xml:space="preserve">	ciudad</t>
  </si>
  <si>
    <t xml:space="preserve">	tele</t>
  </si>
  <si>
    <t xml:space="preserve">	tasa1</t>
  </si>
  <si>
    <t xml:space="preserve">	masitbis</t>
  </si>
  <si>
    <t xml:space="preserve">	cedula</t>
  </si>
  <si>
    <t xml:space="preserve">	comision</t>
  </si>
  <si>
    <t xml:space="preserve">	ncf1</t>
  </si>
  <si>
    <t xml:space="preserve">	egreso</t>
  </si>
  <si>
    <t xml:space="preserve">	factor</t>
  </si>
  <si>
    <t xml:space="preserve">	procesar</t>
  </si>
  <si>
    <t xml:space="preserve">	observa2</t>
  </si>
  <si>
    <t xml:space="preserve">	anulado</t>
  </si>
  <si>
    <t xml:space="preserve">	conduce2</t>
  </si>
  <si>
    <t xml:space="preserve">	conduce3</t>
  </si>
  <si>
    <t xml:space="preserve">	conduce4</t>
  </si>
  <si>
    <t xml:space="preserve">	lectura1</t>
  </si>
  <si>
    <t xml:space="preserve">	lectura2</t>
  </si>
  <si>
    <t xml:space="preserve">	lectura3</t>
  </si>
  <si>
    <t xml:space="preserve">	ncftipo</t>
  </si>
  <si>
    <t xml:space="preserve">	generancf</t>
  </si>
  <si>
    <t xml:space="preserve">	diferencia</t>
  </si>
  <si>
    <t xml:space="preserve">	devolucion</t>
  </si>
  <si>
    <t xml:space="preserve">	modificado</t>
  </si>
  <si>
    <t xml:space="preserve">	devuelta</t>
  </si>
  <si>
    <t xml:space="preserve">	tcredito</t>
  </si>
  <si>
    <t xml:space="preserve">	sucursal1</t>
  </si>
  <si>
    <t xml:space="preserve">	cnttransa</t>
  </si>
  <si>
    <t xml:space="preserve">	fVencimientoNCF</t>
  </si>
  <si>
    <t xml:space="preserve">	contacto</t>
  </si>
  <si>
    <t xml:space="preserve">	idsucursal</t>
  </si>
  <si>
    <t xml:space="preserve">	tasa</t>
  </si>
  <si>
    <t xml:space="preserve">	clasifica2</t>
  </si>
  <si>
    <t xml:space="preserve">	e_ncfcode</t>
  </si>
  <si>
    <t xml:space="preserve">	Transferencia</t>
  </si>
  <si>
    <t xml:space="preserve">	notacredito</t>
  </si>
  <si>
    <t xml:space="preserve">	notacredito1</t>
  </si>
  <si>
    <t xml:space="preserve">	nivelPrecio</t>
  </si>
  <si>
    <t xml:space="preserve">	itbisencosto</t>
  </si>
  <si>
    <t xml:space="preserve">	reimpresion</t>
  </si>
  <si>
    <t xml:space="preserve">	factTmp</t>
  </si>
  <si>
    <t xml:space="preserve">	antDocumento</t>
  </si>
  <si>
    <t xml:space="preserve">	Arancel</t>
  </si>
  <si>
    <t xml:space="preserve">	gasto1</t>
  </si>
  <si>
    <t xml:space="preserve">	autorizado</t>
  </si>
  <si>
    <t xml:space="preserve">	propina</t>
  </si>
  <si>
    <t xml:space="preserve">	observa3</t>
  </si>
  <si>
    <t xml:space="preserve">	SecSQL</t>
  </si>
  <si>
    <t xml:space="preserve">	codigoseguridad</t>
  </si>
  <si>
    <t xml:space="preserve">	fechafirma</t>
  </si>
  <si>
    <t xml:space="preserve">	ULRQR</t>
  </si>
  <si>
    <t xml:space="preserve">	trackid</t>
  </si>
  <si>
    <t xml:space="preserve">	estadoNCF</t>
  </si>
  <si>
    <t xml:space="preserve">	finsertado</t>
  </si>
  <si>
    <t xml:space="preserve">	zonaname</t>
  </si>
  <si>
    <t xml:space="preserve">	comprobante</t>
  </si>
  <si>
    <t xml:space="preserve">	comprobante1</t>
  </si>
  <si>
    <t xml:space="preserve">	datecontrol</t>
  </si>
  <si>
    <t xml:space="preserve">	rnc</t>
  </si>
  <si>
    <t xml:space="preserve">	autoriza</t>
  </si>
  <si>
    <t xml:space="preserve">	montoautoriza</t>
  </si>
  <si>
    <t xml:space="preserve">	abierto1</t>
  </si>
  <si>
    <t xml:space="preserve">	observamodi</t>
  </si>
  <si>
    <t xml:space="preserve">	autorizamodi</t>
  </si>
  <si>
    <t xml:space="preserve">	modificado1</t>
  </si>
  <si>
    <t xml:space="preserve">	fechacreado</t>
  </si>
  <si>
    <t xml:space="preserve">	fechamodificado</t>
  </si>
  <si>
    <t xml:space="preserve">	ordenp</t>
  </si>
  <si>
    <t xml:space="preserve">	nombreliga</t>
  </si>
  <si>
    <t xml:space="preserve">	cantidadliga</t>
  </si>
  <si>
    <t xml:space="preserve">	montoliq</t>
  </si>
  <si>
    <t xml:space="preserve">	documentoliq</t>
  </si>
  <si>
    <t xml:space="preserve">	Salida</t>
  </si>
  <si>
    <t xml:space="preserve">	movimiento</t>
  </si>
  <si>
    <t xml:space="preserve">	ncf_tipo</t>
  </si>
  <si>
    <t xml:space="preserve">	ncf_id</t>
  </si>
  <si>
    <t xml:space="preserve">	otraformapago</t>
  </si>
  <si>
    <t xml:space="preserve">	pedidovendedor</t>
  </si>
  <si>
    <t xml:space="preserve">	TipoLiga</t>
  </si>
  <si>
    <t xml:space="preserve">	FormaPago</t>
  </si>
  <si>
    <t xml:space="preserve">	NCFModificado</t>
  </si>
  <si>
    <t xml:space="preserve">	FechaNCFModificado</t>
  </si>
  <si>
    <t xml:space="preserve">	CodigoModificacion</t>
  </si>
  <si>
    <t xml:space="preserve">	RazonModificacion</t>
  </si>
  <si>
    <t xml:space="preserve">	IndicadorNotaCredito</t>
  </si>
  <si>
    <t xml:space="preserve">	NumeroPedidoInterno</t>
  </si>
  <si>
    <t xml:space="preserve">	NumeroFacturaInterna</t>
  </si>
  <si>
    <t xml:space="preserve">	CodigoVendedor</t>
  </si>
  <si>
    <t xml:space="preserve">	CodigoInternoComprador</t>
  </si>
  <si>
    <t xml:space="preserve">	EstadoFiscal</t>
  </si>
  <si>
    <t>[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</si>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</sst>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C333-7358-41FC-BB4D-3F3541E14A79}">
  <dimension ref="A1:O152"/>
  <sheetViews>
    <sheetView workbookViewId="0">
      <selection activeCell="O152" sqref="O1:O152"/>
    </sheetView>
  </sheetViews>
  <sheetFormatPr baseColWidth="10" defaultRowHeight="15" x14ac:dyDescent="0.25"/>
  <cols>
    <col min="1" max="1" width="1.7109375" bestFit="1" customWidth="1"/>
    <col min="2" max="2" width="24.5703125" bestFit="1" customWidth="1"/>
    <col min="3" max="3" width="1.7109375" bestFit="1" customWidth="1"/>
    <col min="4" max="4" width="1.5703125" bestFit="1" customWidth="1"/>
    <col min="5" max="6" width="1.7109375" bestFit="1" customWidth="1"/>
    <col min="7" max="7" width="24.5703125" bestFit="1" customWidth="1"/>
    <col min="8" max="8" width="1.7109375" bestFit="1" customWidth="1"/>
    <col min="9" max="9" width="1.5703125" bestFit="1" customWidth="1"/>
    <col min="10" max="10" width="1.7109375" bestFit="1" customWidth="1"/>
    <col min="11" max="11" width="10" bestFit="1" customWidth="1"/>
    <col min="12" max="13" width="1.7109375" bestFit="1" customWidth="1"/>
    <col min="14" max="14" width="1.5703125" bestFit="1" customWidth="1"/>
    <col min="15" max="15" width="60.140625" bestFit="1" customWidth="1"/>
  </cols>
  <sheetData>
    <row r="1" spans="1:15" x14ac:dyDescent="0.25">
      <c r="A1" t="s">
        <v>98</v>
      </c>
      <c r="B1" t="s">
        <v>0</v>
      </c>
      <c r="C1" t="s">
        <v>98</v>
      </c>
      <c r="D1" t="s">
        <v>99</v>
      </c>
      <c r="E1" t="s">
        <v>260</v>
      </c>
      <c r="F1" t="s">
        <v>98</v>
      </c>
      <c r="G1" t="s">
        <v>108</v>
      </c>
      <c r="H1" t="s">
        <v>98</v>
      </c>
      <c r="I1" t="s">
        <v>100</v>
      </c>
      <c r="J1" t="s">
        <v>98</v>
      </c>
      <c r="K1" t="s">
        <v>105</v>
      </c>
      <c r="L1" t="s">
        <v>98</v>
      </c>
      <c r="M1" t="s">
        <v>261</v>
      </c>
      <c r="N1" t="s">
        <v>100</v>
      </c>
      <c r="O1" t="str">
        <f>CONCATENATE(A1,B1,C1,D1,E1,F1,G1,H1,I1,J1,K1,L1,M1,N1)</f>
        <v>"empresa":["	empresa"," INTEGER"],</v>
      </c>
    </row>
    <row r="2" spans="1:15" x14ac:dyDescent="0.25">
      <c r="A2" t="s">
        <v>98</v>
      </c>
      <c r="B2" t="s">
        <v>109</v>
      </c>
      <c r="C2" t="s">
        <v>98</v>
      </c>
      <c r="D2" t="s">
        <v>99</v>
      </c>
      <c r="E2" t="s">
        <v>260</v>
      </c>
      <c r="F2" t="s">
        <v>98</v>
      </c>
      <c r="G2" t="s">
        <v>109</v>
      </c>
      <c r="H2" t="s">
        <v>98</v>
      </c>
      <c r="I2" t="s">
        <v>100</v>
      </c>
      <c r="J2" t="s">
        <v>98</v>
      </c>
      <c r="K2" t="s">
        <v>106</v>
      </c>
      <c r="L2" t="s">
        <v>98</v>
      </c>
      <c r="M2" t="s">
        <v>261</v>
      </c>
      <c r="N2" t="s">
        <v>100</v>
      </c>
      <c r="O2" t="str">
        <f>CONCATENATE(A2,B2,C2,D2,E2,F2,G2,H2,I2,J2,K2,L2,M2,N2)</f>
        <v>"	fecha":["	fecha"," DATETIME"],</v>
      </c>
    </row>
    <row r="3" spans="1:15" x14ac:dyDescent="0.25">
      <c r="A3" t="s">
        <v>98</v>
      </c>
      <c r="B3" t="s">
        <v>110</v>
      </c>
      <c r="C3" t="s">
        <v>98</v>
      </c>
      <c r="D3" t="s">
        <v>99</v>
      </c>
      <c r="E3" t="s">
        <v>260</v>
      </c>
      <c r="F3" t="s">
        <v>98</v>
      </c>
      <c r="G3" t="s">
        <v>110</v>
      </c>
      <c r="H3" t="s">
        <v>98</v>
      </c>
      <c r="I3" t="s">
        <v>100</v>
      </c>
      <c r="J3" t="s">
        <v>98</v>
      </c>
      <c r="K3" t="s">
        <v>104</v>
      </c>
      <c r="L3" t="s">
        <v>98</v>
      </c>
      <c r="M3" t="s">
        <v>261</v>
      </c>
      <c r="N3" t="s">
        <v>100</v>
      </c>
      <c r="O3" t="str">
        <f>CONCATENATE(A3,B3,C3,D3,E3,F3,G3,H3,I3,J3,K3,L3,M3,N3)</f>
        <v>"	tipo":["	tipo"," TEXT"],</v>
      </c>
    </row>
    <row r="4" spans="1:15" x14ac:dyDescent="0.25">
      <c r="A4" t="s">
        <v>98</v>
      </c>
      <c r="B4" t="s">
        <v>111</v>
      </c>
      <c r="C4" t="s">
        <v>98</v>
      </c>
      <c r="D4" t="s">
        <v>99</v>
      </c>
      <c r="E4" t="s">
        <v>260</v>
      </c>
      <c r="F4" t="s">
        <v>98</v>
      </c>
      <c r="G4" t="s">
        <v>111</v>
      </c>
      <c r="H4" t="s">
        <v>98</v>
      </c>
      <c r="I4" t="s">
        <v>100</v>
      </c>
      <c r="J4" t="s">
        <v>98</v>
      </c>
      <c r="K4" t="s">
        <v>104</v>
      </c>
      <c r="L4" t="s">
        <v>98</v>
      </c>
      <c r="M4" t="s">
        <v>261</v>
      </c>
      <c r="N4" t="s">
        <v>100</v>
      </c>
      <c r="O4" t="str">
        <f>CONCATENATE(A4,B4,C4,D4,E4,F4,G4,H4,I4,J4,K4,L4,M4,N4)</f>
        <v>"	numero":["	numero"," TEXT"],</v>
      </c>
    </row>
    <row r="5" spans="1:15" x14ac:dyDescent="0.25">
      <c r="A5" t="s">
        <v>98</v>
      </c>
      <c r="B5" t="s">
        <v>112</v>
      </c>
      <c r="C5" t="s">
        <v>98</v>
      </c>
      <c r="D5" t="s">
        <v>99</v>
      </c>
      <c r="E5" t="s">
        <v>260</v>
      </c>
      <c r="F5" t="s">
        <v>98</v>
      </c>
      <c r="G5" t="s">
        <v>112</v>
      </c>
      <c r="H5" t="s">
        <v>98</v>
      </c>
      <c r="I5" t="s">
        <v>100</v>
      </c>
      <c r="J5" t="s">
        <v>98</v>
      </c>
      <c r="K5" t="s">
        <v>104</v>
      </c>
      <c r="L5" t="s">
        <v>98</v>
      </c>
      <c r="M5" t="s">
        <v>261</v>
      </c>
      <c r="N5" t="s">
        <v>100</v>
      </c>
      <c r="O5" t="str">
        <f>CONCATENATE(A5,B5,C5,D5,E5,F5,G5,H5,I5,J5,K5,L5,M5,N5)</f>
        <v>"	documento":["	documento"," TEXT"],</v>
      </c>
    </row>
    <row r="6" spans="1:15" x14ac:dyDescent="0.25">
      <c r="A6" t="s">
        <v>98</v>
      </c>
      <c r="B6" t="s">
        <v>113</v>
      </c>
      <c r="C6" t="s">
        <v>98</v>
      </c>
      <c r="D6" t="s">
        <v>99</v>
      </c>
      <c r="E6" t="s">
        <v>260</v>
      </c>
      <c r="F6" t="s">
        <v>98</v>
      </c>
      <c r="G6" t="s">
        <v>113</v>
      </c>
      <c r="H6" t="s">
        <v>98</v>
      </c>
      <c r="I6" t="s">
        <v>100</v>
      </c>
      <c r="J6" t="s">
        <v>98</v>
      </c>
      <c r="K6" t="s">
        <v>104</v>
      </c>
      <c r="L6" t="s">
        <v>98</v>
      </c>
      <c r="M6" t="s">
        <v>261</v>
      </c>
      <c r="N6" t="s">
        <v>100</v>
      </c>
      <c r="O6" t="str">
        <f>CONCATENATE(A6,B6,C6,D6,E6,F6,G6,H6,I6,J6,K6,L6,M6,N6)</f>
        <v>"	documento1":["	documento1"," TEXT"],</v>
      </c>
    </row>
    <row r="7" spans="1:15" x14ac:dyDescent="0.25">
      <c r="A7" t="s">
        <v>98</v>
      </c>
      <c r="B7" t="s">
        <v>114</v>
      </c>
      <c r="C7" t="s">
        <v>98</v>
      </c>
      <c r="D7" t="s">
        <v>99</v>
      </c>
      <c r="E7" t="s">
        <v>260</v>
      </c>
      <c r="F7" t="s">
        <v>98</v>
      </c>
      <c r="G7" t="s">
        <v>114</v>
      </c>
      <c r="H7" t="s">
        <v>98</v>
      </c>
      <c r="I7" t="s">
        <v>100</v>
      </c>
      <c r="J7" t="s">
        <v>98</v>
      </c>
      <c r="K7" t="s">
        <v>104</v>
      </c>
      <c r="L7" t="s">
        <v>98</v>
      </c>
      <c r="M7" t="s">
        <v>261</v>
      </c>
      <c r="N7" t="s">
        <v>100</v>
      </c>
      <c r="O7" t="str">
        <f>CONCATENATE(A7,B7,C7,D7,E7,F7,G7,H7,I7,J7,K7,L7,M7,N7)</f>
        <v>"	turno1":["	turno1"," TEXT"],</v>
      </c>
    </row>
    <row r="8" spans="1:15" x14ac:dyDescent="0.25">
      <c r="A8" t="s">
        <v>98</v>
      </c>
      <c r="B8" t="s">
        <v>115</v>
      </c>
      <c r="C8" t="s">
        <v>98</v>
      </c>
      <c r="D8" t="s">
        <v>99</v>
      </c>
      <c r="E8" t="s">
        <v>260</v>
      </c>
      <c r="F8" t="s">
        <v>98</v>
      </c>
      <c r="G8" t="s">
        <v>115</v>
      </c>
      <c r="H8" t="s">
        <v>98</v>
      </c>
      <c r="I8" t="s">
        <v>100</v>
      </c>
      <c r="J8" t="s">
        <v>98</v>
      </c>
      <c r="K8" t="s">
        <v>104</v>
      </c>
      <c r="L8" t="s">
        <v>98</v>
      </c>
      <c r="M8" t="s">
        <v>261</v>
      </c>
      <c r="N8" t="s">
        <v>100</v>
      </c>
      <c r="O8" t="str">
        <f>CONCATENATE(A8,B8,C8,D8,E8,F8,G8,H8,I8,J8,K8,L8,M8,N8)</f>
        <v>"	ncf":["	ncf"," TEXT"],</v>
      </c>
    </row>
    <row r="9" spans="1:15" x14ac:dyDescent="0.25">
      <c r="A9" t="s">
        <v>98</v>
      </c>
      <c r="B9" t="s">
        <v>116</v>
      </c>
      <c r="C9" t="s">
        <v>98</v>
      </c>
      <c r="D9" t="s">
        <v>99</v>
      </c>
      <c r="E9" t="s">
        <v>260</v>
      </c>
      <c r="F9" t="s">
        <v>98</v>
      </c>
      <c r="G9" t="s">
        <v>116</v>
      </c>
      <c r="H9" t="s">
        <v>98</v>
      </c>
      <c r="I9" t="s">
        <v>100</v>
      </c>
      <c r="J9" t="s">
        <v>98</v>
      </c>
      <c r="K9" t="s">
        <v>104</v>
      </c>
      <c r="L9" t="s">
        <v>98</v>
      </c>
      <c r="M9" t="s">
        <v>261</v>
      </c>
      <c r="N9" t="s">
        <v>100</v>
      </c>
      <c r="O9" t="str">
        <f>CONCATENATE(A9,B9,C9,D9,E9,F9,G9,H9,I9,J9,K9,L9,M9,N9)</f>
        <v>"	cliente":["	cliente"," TEXT"],</v>
      </c>
    </row>
    <row r="10" spans="1:15" x14ac:dyDescent="0.25">
      <c r="A10" t="s">
        <v>98</v>
      </c>
      <c r="B10" t="s">
        <v>117</v>
      </c>
      <c r="C10" t="s">
        <v>98</v>
      </c>
      <c r="D10" t="s">
        <v>99</v>
      </c>
      <c r="E10" t="s">
        <v>260</v>
      </c>
      <c r="F10" t="s">
        <v>98</v>
      </c>
      <c r="G10" t="s">
        <v>117</v>
      </c>
      <c r="H10" t="s">
        <v>98</v>
      </c>
      <c r="I10" t="s">
        <v>100</v>
      </c>
      <c r="J10" t="s">
        <v>98</v>
      </c>
      <c r="K10" t="s">
        <v>104</v>
      </c>
      <c r="L10" t="s">
        <v>98</v>
      </c>
      <c r="M10" t="s">
        <v>261</v>
      </c>
      <c r="N10" t="s">
        <v>100</v>
      </c>
      <c r="O10" t="str">
        <f>CONCATENATE(A10,B10,C10,D10,E10,F10,G10,H10,I10,J10,K10,L10,M10,N10)</f>
        <v>"	suplidor":["	suplidor"," TEXT"],</v>
      </c>
    </row>
    <row r="11" spans="1:15" x14ac:dyDescent="0.25">
      <c r="A11" t="s">
        <v>98</v>
      </c>
      <c r="B11" t="s">
        <v>118</v>
      </c>
      <c r="C11" t="s">
        <v>98</v>
      </c>
      <c r="D11" t="s">
        <v>99</v>
      </c>
      <c r="E11" t="s">
        <v>260</v>
      </c>
      <c r="F11" t="s">
        <v>98</v>
      </c>
      <c r="G11" t="s">
        <v>118</v>
      </c>
      <c r="H11" t="s">
        <v>98</v>
      </c>
      <c r="I11" t="s">
        <v>100</v>
      </c>
      <c r="J11" t="s">
        <v>98</v>
      </c>
      <c r="K11" t="s">
        <v>104</v>
      </c>
      <c r="L11" t="s">
        <v>98</v>
      </c>
      <c r="M11" t="s">
        <v>261</v>
      </c>
      <c r="N11" t="s">
        <v>100</v>
      </c>
      <c r="O11" t="str">
        <f>CONCATENATE(A11,B11,C11,D11,E11,F11,G11,H11,I11,J11,K11,L11,M11,N11)</f>
        <v>"	termino":["	termino"," TEXT"],</v>
      </c>
    </row>
    <row r="12" spans="1:15" x14ac:dyDescent="0.25">
      <c r="A12" t="s">
        <v>98</v>
      </c>
      <c r="B12" t="s">
        <v>119</v>
      </c>
      <c r="C12" t="s">
        <v>98</v>
      </c>
      <c r="D12" t="s">
        <v>99</v>
      </c>
      <c r="E12" t="s">
        <v>260</v>
      </c>
      <c r="F12" t="s">
        <v>98</v>
      </c>
      <c r="G12" t="s">
        <v>119</v>
      </c>
      <c r="H12" t="s">
        <v>98</v>
      </c>
      <c r="I12" t="s">
        <v>100</v>
      </c>
      <c r="J12" t="s">
        <v>98</v>
      </c>
      <c r="K12" t="s">
        <v>105</v>
      </c>
      <c r="L12" t="s">
        <v>98</v>
      </c>
      <c r="M12" t="s">
        <v>261</v>
      </c>
      <c r="N12" t="s">
        <v>100</v>
      </c>
      <c r="O12" t="str">
        <f>CONCATENATE(A12,B12,C12,D12,E12,F12,G12,H12,I12,J12,K12,L12,M12,N12)</f>
        <v>"	dia":["	dia"," INTEGER"],</v>
      </c>
    </row>
    <row r="13" spans="1:15" x14ac:dyDescent="0.25">
      <c r="A13" t="s">
        <v>98</v>
      </c>
      <c r="B13" t="s">
        <v>120</v>
      </c>
      <c r="C13" t="s">
        <v>98</v>
      </c>
      <c r="D13" t="s">
        <v>99</v>
      </c>
      <c r="E13" t="s">
        <v>260</v>
      </c>
      <c r="F13" t="s">
        <v>98</v>
      </c>
      <c r="G13" t="s">
        <v>120</v>
      </c>
      <c r="H13" t="s">
        <v>98</v>
      </c>
      <c r="I13" t="s">
        <v>100</v>
      </c>
      <c r="J13" t="s">
        <v>98</v>
      </c>
      <c r="K13" t="s">
        <v>105</v>
      </c>
      <c r="L13" t="s">
        <v>98</v>
      </c>
      <c r="M13" t="s">
        <v>261</v>
      </c>
      <c r="N13" t="s">
        <v>100</v>
      </c>
      <c r="O13" t="str">
        <f>CONCATENATE(A13,B13,C13,D13,E13,F13,G13,H13,I13,J13,K13,L13,M13,N13)</f>
        <v>"	dia1":["	dia1"," INTEGER"],</v>
      </c>
    </row>
    <row r="14" spans="1:15" x14ac:dyDescent="0.25">
      <c r="A14" t="s">
        <v>98</v>
      </c>
      <c r="B14" t="s">
        <v>121</v>
      </c>
      <c r="C14" t="s">
        <v>98</v>
      </c>
      <c r="D14" t="s">
        <v>99</v>
      </c>
      <c r="E14" t="s">
        <v>260</v>
      </c>
      <c r="F14" t="s">
        <v>98</v>
      </c>
      <c r="G14" t="s">
        <v>121</v>
      </c>
      <c r="H14" t="s">
        <v>98</v>
      </c>
      <c r="I14" t="s">
        <v>100</v>
      </c>
      <c r="J14" t="s">
        <v>98</v>
      </c>
      <c r="K14" t="s">
        <v>106</v>
      </c>
      <c r="L14" t="s">
        <v>98</v>
      </c>
      <c r="M14" t="s">
        <v>261</v>
      </c>
      <c r="N14" t="s">
        <v>100</v>
      </c>
      <c r="O14" t="str">
        <f>CONCATENATE(A14,B14,C14,D14,E14,F14,G14,H14,I14,J14,K14,L14,M14,N14)</f>
        <v>"	vence":["	vence"," DATETIME"],</v>
      </c>
    </row>
    <row r="15" spans="1:15" x14ac:dyDescent="0.25">
      <c r="A15" t="s">
        <v>98</v>
      </c>
      <c r="B15" t="s">
        <v>122</v>
      </c>
      <c r="C15" t="s">
        <v>98</v>
      </c>
      <c r="D15" t="s">
        <v>99</v>
      </c>
      <c r="E15" t="s">
        <v>260</v>
      </c>
      <c r="F15" t="s">
        <v>98</v>
      </c>
      <c r="G15" t="s">
        <v>122</v>
      </c>
      <c r="H15" t="s">
        <v>98</v>
      </c>
      <c r="I15" t="s">
        <v>100</v>
      </c>
      <c r="J15" t="s">
        <v>98</v>
      </c>
      <c r="K15" t="s">
        <v>106</v>
      </c>
      <c r="L15" t="s">
        <v>98</v>
      </c>
      <c r="M15" t="s">
        <v>261</v>
      </c>
      <c r="N15" t="s">
        <v>100</v>
      </c>
      <c r="O15" t="str">
        <f>CONCATENATE(A15,B15,C15,D15,E15,F15,G15,H15,I15,J15,K15,L15,M15,N15)</f>
        <v>"	digitado":["	digitado"," DATETIME"],</v>
      </c>
    </row>
    <row r="16" spans="1:15" x14ac:dyDescent="0.25">
      <c r="A16" t="s">
        <v>98</v>
      </c>
      <c r="B16" t="s">
        <v>123</v>
      </c>
      <c r="C16" t="s">
        <v>98</v>
      </c>
      <c r="D16" t="s">
        <v>99</v>
      </c>
      <c r="E16" t="s">
        <v>260</v>
      </c>
      <c r="F16" t="s">
        <v>98</v>
      </c>
      <c r="G16" t="s">
        <v>123</v>
      </c>
      <c r="H16" t="s">
        <v>98</v>
      </c>
      <c r="I16" t="s">
        <v>100</v>
      </c>
      <c r="J16" t="s">
        <v>98</v>
      </c>
      <c r="K16" t="s">
        <v>107</v>
      </c>
      <c r="L16" t="s">
        <v>98</v>
      </c>
      <c r="M16" t="s">
        <v>261</v>
      </c>
      <c r="N16" t="s">
        <v>100</v>
      </c>
      <c r="O16" t="str">
        <f>CONCATENATE(A16,B16,C16,D16,E16,F16,G16,H16,I16,J16,K16,L16,M16,N16)</f>
        <v>"	itbis":["	itbis"," REAL"],</v>
      </c>
    </row>
    <row r="17" spans="1:15" x14ac:dyDescent="0.25">
      <c r="A17" t="s">
        <v>98</v>
      </c>
      <c r="B17" t="s">
        <v>124</v>
      </c>
      <c r="C17" t="s">
        <v>98</v>
      </c>
      <c r="D17" t="s">
        <v>99</v>
      </c>
      <c r="E17" t="s">
        <v>260</v>
      </c>
      <c r="F17" t="s">
        <v>98</v>
      </c>
      <c r="G17" t="s">
        <v>124</v>
      </c>
      <c r="H17" t="s">
        <v>98</v>
      </c>
      <c r="I17" t="s">
        <v>100</v>
      </c>
      <c r="J17" t="s">
        <v>98</v>
      </c>
      <c r="K17" t="s">
        <v>106</v>
      </c>
      <c r="L17" t="s">
        <v>98</v>
      </c>
      <c r="M17" t="s">
        <v>261</v>
      </c>
      <c r="N17" t="s">
        <v>100</v>
      </c>
      <c r="O17" t="str">
        <f>CONCATENATE(A17,B17,C17,D17,E17,F17,G17,H17,I17,J17,K17,L17,M17,N17)</f>
        <v>"	fechadesc":["	fechadesc"," DATETIME"],</v>
      </c>
    </row>
    <row r="18" spans="1:15" x14ac:dyDescent="0.25">
      <c r="A18" t="s">
        <v>98</v>
      </c>
      <c r="B18" t="s">
        <v>125</v>
      </c>
      <c r="C18" t="s">
        <v>98</v>
      </c>
      <c r="D18" t="s">
        <v>99</v>
      </c>
      <c r="E18" t="s">
        <v>260</v>
      </c>
      <c r="F18" t="s">
        <v>98</v>
      </c>
      <c r="G18" t="s">
        <v>125</v>
      </c>
      <c r="H18" t="s">
        <v>98</v>
      </c>
      <c r="I18" t="s">
        <v>100</v>
      </c>
      <c r="J18" t="s">
        <v>98</v>
      </c>
      <c r="K18" t="s">
        <v>107</v>
      </c>
      <c r="L18" t="s">
        <v>98</v>
      </c>
      <c r="M18" t="s">
        <v>261</v>
      </c>
      <c r="N18" t="s">
        <v>100</v>
      </c>
      <c r="O18" t="str">
        <f>CONCATENATE(A18,B18,C18,D18,E18,F18,G18,H18,I18,J18,K18,L18,M18,N18)</f>
        <v>"	otros":["	otros"," REAL"],</v>
      </c>
    </row>
    <row r="19" spans="1:15" x14ac:dyDescent="0.25">
      <c r="A19" t="s">
        <v>98</v>
      </c>
      <c r="B19" t="s">
        <v>126</v>
      </c>
      <c r="C19" t="s">
        <v>98</v>
      </c>
      <c r="D19" t="s">
        <v>99</v>
      </c>
      <c r="E19" t="s">
        <v>260</v>
      </c>
      <c r="F19" t="s">
        <v>98</v>
      </c>
      <c r="G19" t="s">
        <v>126</v>
      </c>
      <c r="H19" t="s">
        <v>98</v>
      </c>
      <c r="I19" t="s">
        <v>100</v>
      </c>
      <c r="J19" t="s">
        <v>98</v>
      </c>
      <c r="K19" t="s">
        <v>107</v>
      </c>
      <c r="L19" t="s">
        <v>98</v>
      </c>
      <c r="M19" t="s">
        <v>261</v>
      </c>
      <c r="N19" t="s">
        <v>100</v>
      </c>
      <c r="O19" t="str">
        <f>CONCATENATE(A19,B19,C19,D19,E19,F19,G19,H19,I19,J19,K19,L19,M19,N19)</f>
        <v>"	flete":["	flete"," REAL"],</v>
      </c>
    </row>
    <row r="20" spans="1:15" x14ac:dyDescent="0.25">
      <c r="A20" t="s">
        <v>98</v>
      </c>
      <c r="B20" t="s">
        <v>127</v>
      </c>
      <c r="C20" t="s">
        <v>98</v>
      </c>
      <c r="D20" t="s">
        <v>99</v>
      </c>
      <c r="E20" t="s">
        <v>260</v>
      </c>
      <c r="F20" t="s">
        <v>98</v>
      </c>
      <c r="G20" t="s">
        <v>127</v>
      </c>
      <c r="H20" t="s">
        <v>98</v>
      </c>
      <c r="I20" t="s">
        <v>100</v>
      </c>
      <c r="J20" t="s">
        <v>98</v>
      </c>
      <c r="K20" t="s">
        <v>107</v>
      </c>
      <c r="L20" t="s">
        <v>98</v>
      </c>
      <c r="M20" t="s">
        <v>261</v>
      </c>
      <c r="N20" t="s">
        <v>100</v>
      </c>
      <c r="O20" t="str">
        <f>CONCATENATE(A20,B20,C20,D20,E20,F20,G20,H20,I20,J20,K20,L20,M20,N20)</f>
        <v>"	descuen":["	descuen"," REAL"],</v>
      </c>
    </row>
    <row r="21" spans="1:15" x14ac:dyDescent="0.25">
      <c r="A21" t="s">
        <v>98</v>
      </c>
      <c r="B21" t="s">
        <v>128</v>
      </c>
      <c r="C21" t="s">
        <v>98</v>
      </c>
      <c r="D21" t="s">
        <v>99</v>
      </c>
      <c r="E21" t="s">
        <v>260</v>
      </c>
      <c r="F21" t="s">
        <v>98</v>
      </c>
      <c r="G21" t="s">
        <v>128</v>
      </c>
      <c r="H21" t="s">
        <v>98</v>
      </c>
      <c r="I21" t="s">
        <v>100</v>
      </c>
      <c r="J21" t="s">
        <v>98</v>
      </c>
      <c r="K21" t="s">
        <v>107</v>
      </c>
      <c r="L21" t="s">
        <v>98</v>
      </c>
      <c r="M21" t="s">
        <v>261</v>
      </c>
      <c r="N21" t="s">
        <v>100</v>
      </c>
      <c r="O21" t="str">
        <f>CONCATENATE(A21,B21,C21,D21,E21,F21,G21,H21,I21,J21,K21,L21,M21,N21)</f>
        <v>"	nograva":["	nograva"," REAL"],</v>
      </c>
    </row>
    <row r="22" spans="1:15" x14ac:dyDescent="0.25">
      <c r="A22" t="s">
        <v>98</v>
      </c>
      <c r="B22" t="s">
        <v>129</v>
      </c>
      <c r="C22" t="s">
        <v>98</v>
      </c>
      <c r="D22" t="s">
        <v>99</v>
      </c>
      <c r="E22" t="s">
        <v>260</v>
      </c>
      <c r="F22" t="s">
        <v>98</v>
      </c>
      <c r="G22" t="s">
        <v>129</v>
      </c>
      <c r="H22" t="s">
        <v>98</v>
      </c>
      <c r="I22" t="s">
        <v>100</v>
      </c>
      <c r="J22" t="s">
        <v>98</v>
      </c>
      <c r="K22" t="s">
        <v>107</v>
      </c>
      <c r="L22" t="s">
        <v>98</v>
      </c>
      <c r="M22" t="s">
        <v>261</v>
      </c>
      <c r="N22" t="s">
        <v>100</v>
      </c>
      <c r="O22" t="str">
        <f>CONCATENATE(A22,B22,C22,D22,E22,F22,G22,H22,I22,J22,K22,L22,M22,N22)</f>
        <v>"	grava":["	grava"," REAL"],</v>
      </c>
    </row>
    <row r="23" spans="1:15" x14ac:dyDescent="0.25">
      <c r="A23" t="s">
        <v>98</v>
      </c>
      <c r="B23" t="s">
        <v>130</v>
      </c>
      <c r="C23" t="s">
        <v>98</v>
      </c>
      <c r="D23" t="s">
        <v>99</v>
      </c>
      <c r="E23" t="s">
        <v>260</v>
      </c>
      <c r="F23" t="s">
        <v>98</v>
      </c>
      <c r="G23" t="s">
        <v>130</v>
      </c>
      <c r="H23" t="s">
        <v>98</v>
      </c>
      <c r="I23" t="s">
        <v>100</v>
      </c>
      <c r="J23" t="s">
        <v>98</v>
      </c>
      <c r="K23" t="s">
        <v>107</v>
      </c>
      <c r="L23" t="s">
        <v>98</v>
      </c>
      <c r="M23" t="s">
        <v>261</v>
      </c>
      <c r="N23" t="s">
        <v>100</v>
      </c>
      <c r="O23" t="str">
        <f>CONCATENATE(A23,B23,C23,D23,E23,F23,G23,H23,I23,J23,K23,L23,M23,N23)</f>
        <v>"	monto":["	monto"," REAL"],</v>
      </c>
    </row>
    <row r="24" spans="1:15" x14ac:dyDescent="0.25">
      <c r="A24" t="s">
        <v>98</v>
      </c>
      <c r="B24" t="s">
        <v>131</v>
      </c>
      <c r="C24" t="s">
        <v>98</v>
      </c>
      <c r="D24" t="s">
        <v>99</v>
      </c>
      <c r="E24" t="s">
        <v>260</v>
      </c>
      <c r="F24" t="s">
        <v>98</v>
      </c>
      <c r="G24" t="s">
        <v>131</v>
      </c>
      <c r="H24" t="s">
        <v>98</v>
      </c>
      <c r="I24" t="s">
        <v>100</v>
      </c>
      <c r="J24" t="s">
        <v>98</v>
      </c>
      <c r="K24" t="s">
        <v>107</v>
      </c>
      <c r="L24" t="s">
        <v>98</v>
      </c>
      <c r="M24" t="s">
        <v>261</v>
      </c>
      <c r="N24" t="s">
        <v>100</v>
      </c>
      <c r="O24" t="str">
        <f>CONCATENATE(A24,B24,C24,D24,E24,F24,G24,H24,I24,J24,K24,L24,M24,N24)</f>
        <v>"	total":["	total"," REAL"],</v>
      </c>
    </row>
    <row r="25" spans="1:15" x14ac:dyDescent="0.25">
      <c r="A25" t="s">
        <v>98</v>
      </c>
      <c r="B25" t="s">
        <v>132</v>
      </c>
      <c r="C25" t="s">
        <v>98</v>
      </c>
      <c r="D25" t="s">
        <v>99</v>
      </c>
      <c r="E25" t="s">
        <v>260</v>
      </c>
      <c r="F25" t="s">
        <v>98</v>
      </c>
      <c r="G25" t="s">
        <v>132</v>
      </c>
      <c r="H25" t="s">
        <v>98</v>
      </c>
      <c r="I25" t="s">
        <v>100</v>
      </c>
      <c r="J25" t="s">
        <v>98</v>
      </c>
      <c r="K25" t="s">
        <v>107</v>
      </c>
      <c r="L25" t="s">
        <v>98</v>
      </c>
      <c r="M25" t="s">
        <v>261</v>
      </c>
      <c r="N25" t="s">
        <v>100</v>
      </c>
      <c r="O25" t="str">
        <f>CONCATENATE(A25,B25,C25,D25,E25,F25,G25,H25,I25,J25,K25,L25,M25,N25)</f>
        <v>"	balance":["	balance"," REAL"],</v>
      </c>
    </row>
    <row r="26" spans="1:15" x14ac:dyDescent="0.25">
      <c r="A26" t="s">
        <v>98</v>
      </c>
      <c r="B26" t="s">
        <v>133</v>
      </c>
      <c r="C26" t="s">
        <v>98</v>
      </c>
      <c r="D26" t="s">
        <v>99</v>
      </c>
      <c r="E26" t="s">
        <v>260</v>
      </c>
      <c r="F26" t="s">
        <v>98</v>
      </c>
      <c r="G26" t="s">
        <v>133</v>
      </c>
      <c r="H26" t="s">
        <v>98</v>
      </c>
      <c r="I26" t="s">
        <v>100</v>
      </c>
      <c r="J26" t="s">
        <v>98</v>
      </c>
      <c r="K26" t="s">
        <v>104</v>
      </c>
      <c r="L26" t="s">
        <v>98</v>
      </c>
      <c r="M26" t="s">
        <v>261</v>
      </c>
      <c r="N26" t="s">
        <v>100</v>
      </c>
      <c r="O26" t="str">
        <f>CONCATENATE(A26,B26,C26,D26,E26,F26,G26,H26,I26,J26,K26,L26,M26,N26)</f>
        <v>"	nombre":["	nombre"," TEXT"],</v>
      </c>
    </row>
    <row r="27" spans="1:15" x14ac:dyDescent="0.25">
      <c r="A27" t="s">
        <v>98</v>
      </c>
      <c r="B27" t="s">
        <v>134</v>
      </c>
      <c r="C27" t="s">
        <v>98</v>
      </c>
      <c r="D27" t="s">
        <v>99</v>
      </c>
      <c r="E27" t="s">
        <v>260</v>
      </c>
      <c r="F27" t="s">
        <v>98</v>
      </c>
      <c r="G27" t="s">
        <v>134</v>
      </c>
      <c r="H27" t="s">
        <v>98</v>
      </c>
      <c r="I27" t="s">
        <v>100</v>
      </c>
      <c r="J27" t="s">
        <v>98</v>
      </c>
      <c r="K27" t="s">
        <v>104</v>
      </c>
      <c r="L27" t="s">
        <v>98</v>
      </c>
      <c r="M27" t="s">
        <v>261</v>
      </c>
      <c r="N27" t="s">
        <v>100</v>
      </c>
      <c r="O27" t="str">
        <f>CONCATENATE(A27,B27,C27,D27,E27,F27,G27,H27,I27,J27,K27,L27,M27,N27)</f>
        <v>"	vendedor":["	vendedor"," TEXT"],</v>
      </c>
    </row>
    <row r="28" spans="1:15" x14ac:dyDescent="0.25">
      <c r="A28" t="s">
        <v>98</v>
      </c>
      <c r="B28" t="s">
        <v>135</v>
      </c>
      <c r="C28" t="s">
        <v>98</v>
      </c>
      <c r="D28" t="s">
        <v>99</v>
      </c>
      <c r="E28" t="s">
        <v>260</v>
      </c>
      <c r="F28" t="s">
        <v>98</v>
      </c>
      <c r="G28" t="s">
        <v>135</v>
      </c>
      <c r="H28" t="s">
        <v>98</v>
      </c>
      <c r="I28" t="s">
        <v>100</v>
      </c>
      <c r="J28" t="s">
        <v>98</v>
      </c>
      <c r="K28" t="s">
        <v>104</v>
      </c>
      <c r="L28" t="s">
        <v>98</v>
      </c>
      <c r="M28" t="s">
        <v>261</v>
      </c>
      <c r="N28" t="s">
        <v>100</v>
      </c>
      <c r="O28" t="str">
        <f>CONCATENATE(A28,B28,C28,D28,E28,F28,G28,H28,I28,J28,K28,L28,M28,N28)</f>
        <v>"	vendedor1":["	vendedor1"," TEXT"],</v>
      </c>
    </row>
    <row r="29" spans="1:15" x14ac:dyDescent="0.25">
      <c r="A29" t="s">
        <v>98</v>
      </c>
      <c r="B29" t="s">
        <v>136</v>
      </c>
      <c r="C29" t="s">
        <v>98</v>
      </c>
      <c r="D29" t="s">
        <v>99</v>
      </c>
      <c r="E29" t="s">
        <v>260</v>
      </c>
      <c r="F29" t="s">
        <v>98</v>
      </c>
      <c r="G29" t="s">
        <v>136</v>
      </c>
      <c r="H29" t="s">
        <v>98</v>
      </c>
      <c r="I29" t="s">
        <v>100</v>
      </c>
      <c r="J29" t="s">
        <v>98</v>
      </c>
      <c r="K29" t="s">
        <v>104</v>
      </c>
      <c r="L29" t="s">
        <v>98</v>
      </c>
      <c r="M29" t="s">
        <v>261</v>
      </c>
      <c r="N29" t="s">
        <v>100</v>
      </c>
      <c r="O29" t="str">
        <f>CONCATENATE(A29,B29,C29,D29,E29,F29,G29,H29,I29,J29,K29,L29,M29,N29)</f>
        <v>"	venname":["	venname"," TEXT"],</v>
      </c>
    </row>
    <row r="30" spans="1:15" x14ac:dyDescent="0.25">
      <c r="A30" t="s">
        <v>98</v>
      </c>
      <c r="B30" t="s">
        <v>137</v>
      </c>
      <c r="C30" t="s">
        <v>98</v>
      </c>
      <c r="D30" t="s">
        <v>99</v>
      </c>
      <c r="E30" t="s">
        <v>260</v>
      </c>
      <c r="F30" t="s">
        <v>98</v>
      </c>
      <c r="G30" t="s">
        <v>137</v>
      </c>
      <c r="H30" t="s">
        <v>98</v>
      </c>
      <c r="I30" t="s">
        <v>100</v>
      </c>
      <c r="J30" t="s">
        <v>98</v>
      </c>
      <c r="K30" t="s">
        <v>104</v>
      </c>
      <c r="L30" t="s">
        <v>98</v>
      </c>
      <c r="M30" t="s">
        <v>261</v>
      </c>
      <c r="N30" t="s">
        <v>100</v>
      </c>
      <c r="O30" t="str">
        <f>CONCATENATE(A30,B30,C30,D30,E30,F30,G30,H30,I30,J30,K30,L30,M30,N30)</f>
        <v>"	zona":["	zona"," TEXT"],</v>
      </c>
    </row>
    <row r="31" spans="1:15" x14ac:dyDescent="0.25">
      <c r="A31" t="s">
        <v>98</v>
      </c>
      <c r="B31" t="s">
        <v>138</v>
      </c>
      <c r="C31" t="s">
        <v>98</v>
      </c>
      <c r="D31" t="s">
        <v>99</v>
      </c>
      <c r="E31" t="s">
        <v>260</v>
      </c>
      <c r="F31" t="s">
        <v>98</v>
      </c>
      <c r="G31" t="s">
        <v>138</v>
      </c>
      <c r="H31" t="s">
        <v>98</v>
      </c>
      <c r="I31" t="s">
        <v>100</v>
      </c>
      <c r="J31" t="s">
        <v>98</v>
      </c>
      <c r="K31" t="s">
        <v>104</v>
      </c>
      <c r="L31" t="s">
        <v>98</v>
      </c>
      <c r="M31" t="s">
        <v>261</v>
      </c>
      <c r="N31" t="s">
        <v>100</v>
      </c>
      <c r="O31" t="str">
        <f>CONCATENATE(A31,B31,C31,D31,E31,F31,G31,H31,I31,J31,K31,L31,M31,N31)</f>
        <v>"	pedido":["	pedido"," TEXT"],</v>
      </c>
    </row>
    <row r="32" spans="1:15" x14ac:dyDescent="0.25">
      <c r="A32" t="s">
        <v>98</v>
      </c>
      <c r="B32" t="s">
        <v>139</v>
      </c>
      <c r="C32" t="s">
        <v>98</v>
      </c>
      <c r="D32" t="s">
        <v>99</v>
      </c>
      <c r="E32" t="s">
        <v>260</v>
      </c>
      <c r="F32" t="s">
        <v>98</v>
      </c>
      <c r="G32" t="s">
        <v>139</v>
      </c>
      <c r="H32" t="s">
        <v>98</v>
      </c>
      <c r="I32" t="s">
        <v>100</v>
      </c>
      <c r="J32" t="s">
        <v>98</v>
      </c>
      <c r="K32" t="s">
        <v>104</v>
      </c>
      <c r="L32" t="s">
        <v>98</v>
      </c>
      <c r="M32" t="s">
        <v>261</v>
      </c>
      <c r="N32" t="s">
        <v>100</v>
      </c>
      <c r="O32" t="str">
        <f>CONCATENATE(A32,B32,C32,D32,E32,F32,G32,H32,I32,J32,K32,L32,M32,N32)</f>
        <v>"	conduce":["	conduce"," TEXT"],</v>
      </c>
    </row>
    <row r="33" spans="1:15" x14ac:dyDescent="0.25">
      <c r="A33" t="s">
        <v>98</v>
      </c>
      <c r="B33" t="s">
        <v>140</v>
      </c>
      <c r="C33" t="s">
        <v>98</v>
      </c>
      <c r="D33" t="s">
        <v>99</v>
      </c>
      <c r="E33" t="s">
        <v>260</v>
      </c>
      <c r="F33" t="s">
        <v>98</v>
      </c>
      <c r="G33" t="s">
        <v>140</v>
      </c>
      <c r="H33" t="s">
        <v>98</v>
      </c>
      <c r="I33" t="s">
        <v>100</v>
      </c>
      <c r="J33" t="s">
        <v>98</v>
      </c>
      <c r="K33" t="s">
        <v>104</v>
      </c>
      <c r="L33" t="s">
        <v>98</v>
      </c>
      <c r="M33" t="s">
        <v>261</v>
      </c>
      <c r="N33" t="s">
        <v>100</v>
      </c>
      <c r="O33" t="str">
        <f>CONCATENATE(A33,B33,C33,D33,E33,F33,G33,H33,I33,J33,K33,L33,M33,N33)</f>
        <v>"	observa":["	observa"," TEXT"],</v>
      </c>
    </row>
    <row r="34" spans="1:15" x14ac:dyDescent="0.25">
      <c r="A34" t="s">
        <v>98</v>
      </c>
      <c r="B34" t="s">
        <v>141</v>
      </c>
      <c r="C34" t="s">
        <v>98</v>
      </c>
      <c r="D34" t="s">
        <v>99</v>
      </c>
      <c r="E34" t="s">
        <v>260</v>
      </c>
      <c r="F34" t="s">
        <v>98</v>
      </c>
      <c r="G34" t="s">
        <v>141</v>
      </c>
      <c r="H34" t="s">
        <v>98</v>
      </c>
      <c r="I34" t="s">
        <v>100</v>
      </c>
      <c r="J34" t="s">
        <v>98</v>
      </c>
      <c r="K34" t="s">
        <v>104</v>
      </c>
      <c r="L34" t="s">
        <v>98</v>
      </c>
      <c r="M34" t="s">
        <v>261</v>
      </c>
      <c r="N34" t="s">
        <v>100</v>
      </c>
      <c r="O34" t="str">
        <f>CONCATENATE(A34,B34,C34,D34,E34,F34,G34,H34,I34,J34,K34,L34,M34,N34)</f>
        <v>"	validado":["	validado"," TEXT"],</v>
      </c>
    </row>
    <row r="35" spans="1:15" x14ac:dyDescent="0.25">
      <c r="A35" t="s">
        <v>98</v>
      </c>
      <c r="B35" t="s">
        <v>142</v>
      </c>
      <c r="C35" t="s">
        <v>98</v>
      </c>
      <c r="D35" t="s">
        <v>99</v>
      </c>
      <c r="E35" t="s">
        <v>260</v>
      </c>
      <c r="F35" t="s">
        <v>98</v>
      </c>
      <c r="G35" t="s">
        <v>142</v>
      </c>
      <c r="H35" t="s">
        <v>98</v>
      </c>
      <c r="I35" t="s">
        <v>100</v>
      </c>
      <c r="J35" t="s">
        <v>98</v>
      </c>
      <c r="K35" t="s">
        <v>104</v>
      </c>
      <c r="L35" t="s">
        <v>98</v>
      </c>
      <c r="M35" t="s">
        <v>261</v>
      </c>
      <c r="N35" t="s">
        <v>100</v>
      </c>
      <c r="O35" t="str">
        <f>CONCATENATE(A35,B35,C35,D35,E35,F35,G35,H35,I35,J35,K35,L35,M35,N35)</f>
        <v>"	posteado":["	posteado"," TEXT"],</v>
      </c>
    </row>
    <row r="36" spans="1:15" x14ac:dyDescent="0.25">
      <c r="A36" t="s">
        <v>98</v>
      </c>
      <c r="B36" t="s">
        <v>143</v>
      </c>
      <c r="C36" t="s">
        <v>98</v>
      </c>
      <c r="D36" t="s">
        <v>99</v>
      </c>
      <c r="E36" t="s">
        <v>260</v>
      </c>
      <c r="F36" t="s">
        <v>98</v>
      </c>
      <c r="G36" t="s">
        <v>143</v>
      </c>
      <c r="H36" t="s">
        <v>98</v>
      </c>
      <c r="I36" t="s">
        <v>100</v>
      </c>
      <c r="J36" t="s">
        <v>98</v>
      </c>
      <c r="K36" t="s">
        <v>107</v>
      </c>
      <c r="L36" t="s">
        <v>98</v>
      </c>
      <c r="M36" t="s">
        <v>261</v>
      </c>
      <c r="N36" t="s">
        <v>100</v>
      </c>
      <c r="O36" t="str">
        <f>CONCATENATE(A36,B36,C36,D36,E36,F36,G36,H36,I36,J36,K36,L36,M36,N36)</f>
        <v>"	efectivo":["	efectivo"," REAL"],</v>
      </c>
    </row>
    <row r="37" spans="1:15" x14ac:dyDescent="0.25">
      <c r="A37" t="s">
        <v>98</v>
      </c>
      <c r="B37" t="s">
        <v>144</v>
      </c>
      <c r="C37" t="s">
        <v>98</v>
      </c>
      <c r="D37" t="s">
        <v>99</v>
      </c>
      <c r="E37" t="s">
        <v>260</v>
      </c>
      <c r="F37" t="s">
        <v>98</v>
      </c>
      <c r="G37" t="s">
        <v>144</v>
      </c>
      <c r="H37" t="s">
        <v>98</v>
      </c>
      <c r="I37" t="s">
        <v>100</v>
      </c>
      <c r="J37" t="s">
        <v>98</v>
      </c>
      <c r="K37" t="s">
        <v>107</v>
      </c>
      <c r="L37" t="s">
        <v>98</v>
      </c>
      <c r="M37" t="s">
        <v>261</v>
      </c>
      <c r="N37" t="s">
        <v>100</v>
      </c>
      <c r="O37" t="str">
        <f>CONCATENATE(A37,B37,C37,D37,E37,F37,G37,H37,I37,J37,K37,L37,M37,N37)</f>
        <v>"	cheque":["	cheque"," REAL"],</v>
      </c>
    </row>
    <row r="38" spans="1:15" x14ac:dyDescent="0.25">
      <c r="A38" t="s">
        <v>98</v>
      </c>
      <c r="B38" t="s">
        <v>145</v>
      </c>
      <c r="C38" t="s">
        <v>98</v>
      </c>
      <c r="D38" t="s">
        <v>99</v>
      </c>
      <c r="E38" t="s">
        <v>260</v>
      </c>
      <c r="F38" t="s">
        <v>98</v>
      </c>
      <c r="G38" t="s">
        <v>145</v>
      </c>
      <c r="H38" t="s">
        <v>98</v>
      </c>
      <c r="I38" t="s">
        <v>100</v>
      </c>
      <c r="J38" t="s">
        <v>98</v>
      </c>
      <c r="K38" t="s">
        <v>107</v>
      </c>
      <c r="L38" t="s">
        <v>98</v>
      </c>
      <c r="M38" t="s">
        <v>261</v>
      </c>
      <c r="N38" t="s">
        <v>100</v>
      </c>
      <c r="O38" t="str">
        <f>CONCATENATE(A38,B38,C38,D38,E38,F38,G38,H38,I38,J38,K38,L38,M38,N38)</f>
        <v>"	tarjeta":["	tarjeta"," REAL"],</v>
      </c>
    </row>
    <row r="39" spans="1:15" x14ac:dyDescent="0.25">
      <c r="A39" t="s">
        <v>98</v>
      </c>
      <c r="B39" t="s">
        <v>146</v>
      </c>
      <c r="C39" t="s">
        <v>98</v>
      </c>
      <c r="D39" t="s">
        <v>99</v>
      </c>
      <c r="E39" t="s">
        <v>260</v>
      </c>
      <c r="F39" t="s">
        <v>98</v>
      </c>
      <c r="G39" t="s">
        <v>146</v>
      </c>
      <c r="H39" t="s">
        <v>98</v>
      </c>
      <c r="I39" t="s">
        <v>100</v>
      </c>
      <c r="J39" t="s">
        <v>98</v>
      </c>
      <c r="K39" t="s">
        <v>107</v>
      </c>
      <c r="L39" t="s">
        <v>98</v>
      </c>
      <c r="M39" t="s">
        <v>261</v>
      </c>
      <c r="N39" t="s">
        <v>100</v>
      </c>
      <c r="O39" t="str">
        <f>CONCATENATE(A39,B39,C39,D39,E39,F39,G39,H39,I39,J39,K39,L39,M39,N39)</f>
        <v>"	gastos":["	gastos"," REAL"],</v>
      </c>
    </row>
    <row r="40" spans="1:15" x14ac:dyDescent="0.25">
      <c r="A40" t="s">
        <v>98</v>
      </c>
      <c r="B40" t="s">
        <v>147</v>
      </c>
      <c r="C40" t="s">
        <v>98</v>
      </c>
      <c r="D40" t="s">
        <v>99</v>
      </c>
      <c r="E40" t="s">
        <v>260</v>
      </c>
      <c r="F40" t="s">
        <v>98</v>
      </c>
      <c r="G40" t="s">
        <v>147</v>
      </c>
      <c r="H40" t="s">
        <v>98</v>
      </c>
      <c r="I40" t="s">
        <v>100</v>
      </c>
      <c r="J40" t="s">
        <v>98</v>
      </c>
      <c r="K40" t="s">
        <v>104</v>
      </c>
      <c r="L40" t="s">
        <v>98</v>
      </c>
      <c r="M40" t="s">
        <v>261</v>
      </c>
      <c r="N40" t="s">
        <v>100</v>
      </c>
      <c r="O40" t="str">
        <f>CONCATENATE(A40,B40,C40,D40,E40,F40,G40,H40,I40,J40,K40,L40,M40,N40)</f>
        <v>"	nulo":["	nulo"," TEXT"],</v>
      </c>
    </row>
    <row r="41" spans="1:15" x14ac:dyDescent="0.25">
      <c r="A41" t="s">
        <v>98</v>
      </c>
      <c r="B41" t="s">
        <v>148</v>
      </c>
      <c r="C41" t="s">
        <v>98</v>
      </c>
      <c r="D41" t="s">
        <v>99</v>
      </c>
      <c r="E41" t="s">
        <v>260</v>
      </c>
      <c r="F41" t="s">
        <v>98</v>
      </c>
      <c r="G41" t="s">
        <v>148</v>
      </c>
      <c r="H41" t="s">
        <v>98</v>
      </c>
      <c r="I41" t="s">
        <v>100</v>
      </c>
      <c r="J41" t="s">
        <v>98</v>
      </c>
      <c r="K41" t="s">
        <v>104</v>
      </c>
      <c r="L41" t="s">
        <v>98</v>
      </c>
      <c r="M41" t="s">
        <v>261</v>
      </c>
      <c r="N41" t="s">
        <v>100</v>
      </c>
      <c r="O41" t="str">
        <f>CONCATENATE(A41,B41,C41,D41,E41,F41,G41,H41,I41,J41,K41,L41,M41,N41)</f>
        <v>"	ABIERTO":["	ABIERTO"," TEXT"],</v>
      </c>
    </row>
    <row r="42" spans="1:15" x14ac:dyDescent="0.25">
      <c r="A42" t="s">
        <v>98</v>
      </c>
      <c r="B42" t="s">
        <v>149</v>
      </c>
      <c r="C42" t="s">
        <v>98</v>
      </c>
      <c r="D42" t="s">
        <v>99</v>
      </c>
      <c r="E42" t="s">
        <v>260</v>
      </c>
      <c r="F42" t="s">
        <v>98</v>
      </c>
      <c r="G42" t="s">
        <v>149</v>
      </c>
      <c r="H42" t="s">
        <v>98</v>
      </c>
      <c r="I42" t="s">
        <v>100</v>
      </c>
      <c r="J42" t="s">
        <v>98</v>
      </c>
      <c r="K42" t="s">
        <v>107</v>
      </c>
      <c r="L42" t="s">
        <v>98</v>
      </c>
      <c r="M42" t="s">
        <v>261</v>
      </c>
      <c r="N42" t="s">
        <v>100</v>
      </c>
      <c r="O42" t="str">
        <f>CONCATENATE(A42,B42,C42,D42,E42,F42,G42,H42,I42,J42,K42,L42,M42,N42)</f>
        <v>"	ENVIADO":["	ENVIADO"," REAL"],</v>
      </c>
    </row>
    <row r="43" spans="1:15" x14ac:dyDescent="0.25">
      <c r="A43" t="s">
        <v>98</v>
      </c>
      <c r="B43" t="s">
        <v>150</v>
      </c>
      <c r="C43" t="s">
        <v>98</v>
      </c>
      <c r="D43" t="s">
        <v>99</v>
      </c>
      <c r="E43" t="s">
        <v>260</v>
      </c>
      <c r="F43" t="s">
        <v>98</v>
      </c>
      <c r="G43" t="s">
        <v>150</v>
      </c>
      <c r="H43" t="s">
        <v>98</v>
      </c>
      <c r="I43" t="s">
        <v>100</v>
      </c>
      <c r="J43" t="s">
        <v>98</v>
      </c>
      <c r="K43" t="s">
        <v>104</v>
      </c>
      <c r="L43" t="s">
        <v>98</v>
      </c>
      <c r="M43" t="s">
        <v>261</v>
      </c>
      <c r="N43" t="s">
        <v>100</v>
      </c>
      <c r="O43" t="str">
        <f>CONCATENATE(A43,B43,C43,D43,E43,F43,G43,H43,I43,J43,K43,L43,M43,N43)</f>
        <v>"	despacho":["	despacho"," TEXT"],</v>
      </c>
    </row>
    <row r="44" spans="1:15" x14ac:dyDescent="0.25">
      <c r="A44" t="s">
        <v>98</v>
      </c>
      <c r="B44" t="s">
        <v>151</v>
      </c>
      <c r="C44" t="s">
        <v>98</v>
      </c>
      <c r="D44" t="s">
        <v>99</v>
      </c>
      <c r="E44" t="s">
        <v>260</v>
      </c>
      <c r="F44" t="s">
        <v>98</v>
      </c>
      <c r="G44" t="s">
        <v>151</v>
      </c>
      <c r="H44" t="s">
        <v>98</v>
      </c>
      <c r="I44" t="s">
        <v>100</v>
      </c>
      <c r="J44" t="s">
        <v>98</v>
      </c>
      <c r="K44" t="s">
        <v>104</v>
      </c>
      <c r="L44" t="s">
        <v>98</v>
      </c>
      <c r="M44" t="s">
        <v>261</v>
      </c>
      <c r="N44" t="s">
        <v>100</v>
      </c>
      <c r="O44" t="str">
        <f>CONCATENATE(A44,B44,C44,D44,E44,F44,G44,H44,I44,J44,K44,L44,M44,N44)</f>
        <v>"	provincia":["	provincia"," TEXT"],</v>
      </c>
    </row>
    <row r="45" spans="1:15" x14ac:dyDescent="0.25">
      <c r="A45" t="s">
        <v>98</v>
      </c>
      <c r="B45" t="s">
        <v>152</v>
      </c>
      <c r="C45" t="s">
        <v>98</v>
      </c>
      <c r="D45" t="s">
        <v>99</v>
      </c>
      <c r="E45" t="s">
        <v>260</v>
      </c>
      <c r="F45" t="s">
        <v>98</v>
      </c>
      <c r="G45" t="s">
        <v>152</v>
      </c>
      <c r="H45" t="s">
        <v>98</v>
      </c>
      <c r="I45" t="s">
        <v>100</v>
      </c>
      <c r="J45" t="s">
        <v>98</v>
      </c>
      <c r="K45" t="s">
        <v>104</v>
      </c>
      <c r="L45" t="s">
        <v>98</v>
      </c>
      <c r="M45" t="s">
        <v>261</v>
      </c>
      <c r="N45" t="s">
        <v>100</v>
      </c>
      <c r="O45" t="str">
        <f>CONCATENATE(A45,B45,C45,D45,E45,F45,G45,H45,I45,J45,K45,L45,M45,N45)</f>
        <v>"	almacen":["	almacen"," TEXT"],</v>
      </c>
    </row>
    <row r="46" spans="1:15" x14ac:dyDescent="0.25">
      <c r="A46" t="s">
        <v>98</v>
      </c>
      <c r="B46" t="s">
        <v>153</v>
      </c>
      <c r="C46" t="s">
        <v>98</v>
      </c>
      <c r="D46" t="s">
        <v>99</v>
      </c>
      <c r="E46" t="s">
        <v>260</v>
      </c>
      <c r="F46" t="s">
        <v>98</v>
      </c>
      <c r="G46" t="s">
        <v>153</v>
      </c>
      <c r="H46" t="s">
        <v>98</v>
      </c>
      <c r="I46" t="s">
        <v>100</v>
      </c>
      <c r="J46" t="s">
        <v>98</v>
      </c>
      <c r="K46" t="s">
        <v>107</v>
      </c>
      <c r="L46" t="s">
        <v>98</v>
      </c>
      <c r="M46" t="s">
        <v>261</v>
      </c>
      <c r="N46" t="s">
        <v>100</v>
      </c>
      <c r="O46" t="str">
        <f>CONCATENATE(A46,B46,C46,D46,E46,F46,G46,H46,I46,J46,K46,L46,M46,N46)</f>
        <v>"	POSTEO":["	POSTEO"," REAL"],</v>
      </c>
    </row>
    <row r="47" spans="1:15" x14ac:dyDescent="0.25">
      <c r="A47" t="s">
        <v>98</v>
      </c>
      <c r="B47" t="s">
        <v>154</v>
      </c>
      <c r="C47" t="s">
        <v>98</v>
      </c>
      <c r="D47" t="s">
        <v>99</v>
      </c>
      <c r="E47" t="s">
        <v>260</v>
      </c>
      <c r="F47" t="s">
        <v>98</v>
      </c>
      <c r="G47" t="s">
        <v>154</v>
      </c>
      <c r="H47" t="s">
        <v>98</v>
      </c>
      <c r="I47" t="s">
        <v>100</v>
      </c>
      <c r="J47" t="s">
        <v>98</v>
      </c>
      <c r="K47" t="s">
        <v>104</v>
      </c>
      <c r="L47" t="s">
        <v>98</v>
      </c>
      <c r="M47" t="s">
        <v>261</v>
      </c>
      <c r="N47" t="s">
        <v>100</v>
      </c>
      <c r="O47" t="str">
        <f>CONCATENATE(A47,B47,C47,D47,E47,F47,G47,H47,I47,J47,K47,L47,M47,N47)</f>
        <v>"	socio":["	socio"," TEXT"],</v>
      </c>
    </row>
    <row r="48" spans="1:15" x14ac:dyDescent="0.25">
      <c r="A48" t="s">
        <v>98</v>
      </c>
      <c r="B48" t="s">
        <v>155</v>
      </c>
      <c r="C48" t="s">
        <v>98</v>
      </c>
      <c r="D48" t="s">
        <v>99</v>
      </c>
      <c r="E48" t="s">
        <v>260</v>
      </c>
      <c r="F48" t="s">
        <v>98</v>
      </c>
      <c r="G48" t="s">
        <v>155</v>
      </c>
      <c r="H48" t="s">
        <v>98</v>
      </c>
      <c r="I48" t="s">
        <v>100</v>
      </c>
      <c r="J48" t="s">
        <v>98</v>
      </c>
      <c r="K48" t="s">
        <v>104</v>
      </c>
      <c r="L48" t="s">
        <v>98</v>
      </c>
      <c r="M48" t="s">
        <v>261</v>
      </c>
      <c r="N48" t="s">
        <v>100</v>
      </c>
      <c r="O48" t="str">
        <f>CONCATENATE(A48,B48,C48,D48,E48,F48,G48,H48,I48,J48,K48,L48,M48,N48)</f>
        <v>"	creado":["	creado"," TEXT"],</v>
      </c>
    </row>
    <row r="49" spans="1:15" x14ac:dyDescent="0.25">
      <c r="A49" t="s">
        <v>98</v>
      </c>
      <c r="B49" t="s">
        <v>156</v>
      </c>
      <c r="C49" t="s">
        <v>98</v>
      </c>
      <c r="D49" t="s">
        <v>99</v>
      </c>
      <c r="E49" t="s">
        <v>260</v>
      </c>
      <c r="F49" t="s">
        <v>98</v>
      </c>
      <c r="G49" t="s">
        <v>156</v>
      </c>
      <c r="H49" t="s">
        <v>98</v>
      </c>
      <c r="I49" t="s">
        <v>100</v>
      </c>
      <c r="J49" t="s">
        <v>98</v>
      </c>
      <c r="K49" t="s">
        <v>104</v>
      </c>
      <c r="L49" t="s">
        <v>98</v>
      </c>
      <c r="M49" t="s">
        <v>261</v>
      </c>
      <c r="N49" t="s">
        <v>100</v>
      </c>
      <c r="O49" t="str">
        <f>CONCATENATE(A49,B49,C49,D49,E49,F49,G49,H49,I49,J49,K49,L49,M49,N49)</f>
        <v>"	dsc":["	dsc"," TEXT"],</v>
      </c>
    </row>
    <row r="50" spans="1:15" x14ac:dyDescent="0.25">
      <c r="A50" t="s">
        <v>98</v>
      </c>
      <c r="B50" t="s">
        <v>157</v>
      </c>
      <c r="C50" t="s">
        <v>98</v>
      </c>
      <c r="D50" t="s">
        <v>99</v>
      </c>
      <c r="E50" t="s">
        <v>260</v>
      </c>
      <c r="F50" t="s">
        <v>98</v>
      </c>
      <c r="G50" t="s">
        <v>157</v>
      </c>
      <c r="H50" t="s">
        <v>98</v>
      </c>
      <c r="I50" t="s">
        <v>100</v>
      </c>
      <c r="J50" t="s">
        <v>98</v>
      </c>
      <c r="K50" t="s">
        <v>104</v>
      </c>
      <c r="L50" t="s">
        <v>98</v>
      </c>
      <c r="M50" t="s">
        <v>261</v>
      </c>
      <c r="N50" t="s">
        <v>100</v>
      </c>
      <c r="O50" t="str">
        <f>CONCATENATE(A50,B50,C50,D50,E50,F50,G50,H50,I50,J50,K50,L50,M50,N50)</f>
        <v>"	prnc":["	prnc"," TEXT"],</v>
      </c>
    </row>
    <row r="51" spans="1:15" x14ac:dyDescent="0.25">
      <c r="A51" t="s">
        <v>98</v>
      </c>
      <c r="B51" t="s">
        <v>158</v>
      </c>
      <c r="C51" t="s">
        <v>98</v>
      </c>
      <c r="D51" t="s">
        <v>99</v>
      </c>
      <c r="E51" t="s">
        <v>260</v>
      </c>
      <c r="F51" t="s">
        <v>98</v>
      </c>
      <c r="G51" t="s">
        <v>158</v>
      </c>
      <c r="H51" t="s">
        <v>98</v>
      </c>
      <c r="I51" t="s">
        <v>100</v>
      </c>
      <c r="J51" t="s">
        <v>98</v>
      </c>
      <c r="K51" t="s">
        <v>104</v>
      </c>
      <c r="L51" t="s">
        <v>98</v>
      </c>
      <c r="M51" t="s">
        <v>261</v>
      </c>
      <c r="N51" t="s">
        <v>100</v>
      </c>
      <c r="O51" t="str">
        <f>CONCATENATE(A51,B51,C51,D51,E51,F51,G51,H51,I51,J51,K51,L51,M51,N51)</f>
        <v>"	prn":["	prn"," TEXT"],</v>
      </c>
    </row>
    <row r="52" spans="1:15" x14ac:dyDescent="0.25">
      <c r="A52" t="s">
        <v>98</v>
      </c>
      <c r="B52" t="s">
        <v>159</v>
      </c>
      <c r="C52" t="s">
        <v>98</v>
      </c>
      <c r="D52" t="s">
        <v>99</v>
      </c>
      <c r="E52" t="s">
        <v>260</v>
      </c>
      <c r="F52" t="s">
        <v>98</v>
      </c>
      <c r="G52" t="s">
        <v>159</v>
      </c>
      <c r="H52" t="s">
        <v>98</v>
      </c>
      <c r="I52" t="s">
        <v>100</v>
      </c>
      <c r="J52" t="s">
        <v>98</v>
      </c>
      <c r="K52" t="s">
        <v>104</v>
      </c>
      <c r="L52" t="s">
        <v>98</v>
      </c>
      <c r="M52" t="s">
        <v>261</v>
      </c>
      <c r="N52" t="s">
        <v>100</v>
      </c>
      <c r="O52" t="str">
        <f>CONCATENATE(A52,B52,C52,D52,E52,F52,G52,H52,I52,J52,K52,L52,M52,N52)</f>
        <v>"	observa1":["	observa1"," TEXT"],</v>
      </c>
    </row>
    <row r="53" spans="1:15" x14ac:dyDescent="0.25">
      <c r="A53" t="s">
        <v>98</v>
      </c>
      <c r="B53" t="s">
        <v>160</v>
      </c>
      <c r="C53" t="s">
        <v>98</v>
      </c>
      <c r="D53" t="s">
        <v>99</v>
      </c>
      <c r="E53" t="s">
        <v>260</v>
      </c>
      <c r="F53" t="s">
        <v>98</v>
      </c>
      <c r="G53" t="s">
        <v>160</v>
      </c>
      <c r="H53" t="s">
        <v>98</v>
      </c>
      <c r="I53" t="s">
        <v>100</v>
      </c>
      <c r="J53" t="s">
        <v>98</v>
      </c>
      <c r="K53" t="s">
        <v>104</v>
      </c>
      <c r="L53" t="s">
        <v>98</v>
      </c>
      <c r="M53" t="s">
        <v>261</v>
      </c>
      <c r="N53" t="s">
        <v>100</v>
      </c>
      <c r="O53" t="str">
        <f>CONCATENATE(A53,B53,C53,D53,E53,F53,G53,H53,I53,J53,K53,L53,M53,N53)</f>
        <v>"	usuario":["	usuario"," TEXT"],</v>
      </c>
    </row>
    <row r="54" spans="1:15" x14ac:dyDescent="0.25">
      <c r="A54" t="s">
        <v>98</v>
      </c>
      <c r="B54" t="s">
        <v>161</v>
      </c>
      <c r="C54" t="s">
        <v>98</v>
      </c>
      <c r="D54" t="s">
        <v>99</v>
      </c>
      <c r="E54" t="s">
        <v>260</v>
      </c>
      <c r="F54" t="s">
        <v>98</v>
      </c>
      <c r="G54" t="s">
        <v>161</v>
      </c>
      <c r="H54" t="s">
        <v>98</v>
      </c>
      <c r="I54" t="s">
        <v>100</v>
      </c>
      <c r="J54" t="s">
        <v>98</v>
      </c>
      <c r="K54" t="s">
        <v>104</v>
      </c>
      <c r="L54" t="s">
        <v>98</v>
      </c>
      <c r="M54" t="s">
        <v>261</v>
      </c>
      <c r="N54" t="s">
        <v>100</v>
      </c>
      <c r="O54" t="str">
        <f>CONCATENATE(A54,B54,C54,D54,E54,F54,G54,H54,I54,J54,K54,L54,M54,N54)</f>
        <v>"	chofer":["	chofer"," TEXT"],</v>
      </c>
    </row>
    <row r="55" spans="1:15" x14ac:dyDescent="0.25">
      <c r="A55" t="s">
        <v>98</v>
      </c>
      <c r="B55" t="s">
        <v>162</v>
      </c>
      <c r="C55" t="s">
        <v>98</v>
      </c>
      <c r="D55" t="s">
        <v>99</v>
      </c>
      <c r="E55" t="s">
        <v>260</v>
      </c>
      <c r="F55" t="s">
        <v>98</v>
      </c>
      <c r="G55" t="s">
        <v>162</v>
      </c>
      <c r="H55" t="s">
        <v>98</v>
      </c>
      <c r="I55" t="s">
        <v>100</v>
      </c>
      <c r="J55" t="s">
        <v>98</v>
      </c>
      <c r="K55" t="s">
        <v>104</v>
      </c>
      <c r="L55" t="s">
        <v>98</v>
      </c>
      <c r="M55" t="s">
        <v>261</v>
      </c>
      <c r="N55" t="s">
        <v>100</v>
      </c>
      <c r="O55" t="str">
        <f>CONCATENATE(A55,B55,C55,D55,E55,F55,G55,H55,I55,J55,K55,L55,M55,N55)</f>
        <v>"	promotor":["	promotor"," TEXT"],</v>
      </c>
    </row>
    <row r="56" spans="1:15" x14ac:dyDescent="0.25">
      <c r="A56" t="s">
        <v>98</v>
      </c>
      <c r="B56" t="s">
        <v>163</v>
      </c>
      <c r="C56" t="s">
        <v>98</v>
      </c>
      <c r="D56" t="s">
        <v>99</v>
      </c>
      <c r="E56" t="s">
        <v>260</v>
      </c>
      <c r="F56" t="s">
        <v>98</v>
      </c>
      <c r="G56" t="s">
        <v>163</v>
      </c>
      <c r="H56" t="s">
        <v>98</v>
      </c>
      <c r="I56" t="s">
        <v>100</v>
      </c>
      <c r="J56" t="s">
        <v>98</v>
      </c>
      <c r="K56" t="s">
        <v>104</v>
      </c>
      <c r="L56" t="s">
        <v>98</v>
      </c>
      <c r="M56" t="s">
        <v>261</v>
      </c>
      <c r="N56" t="s">
        <v>100</v>
      </c>
      <c r="O56" t="str">
        <f>CONCATENATE(A56,B56,C56,D56,E56,F56,G56,H56,I56,J56,K56,L56,M56,N56)</f>
        <v>"	cajero":["	cajero"," TEXT"],</v>
      </c>
    </row>
    <row r="57" spans="1:15" x14ac:dyDescent="0.25">
      <c r="A57" t="s">
        <v>98</v>
      </c>
      <c r="B57" t="s">
        <v>164</v>
      </c>
      <c r="C57" t="s">
        <v>98</v>
      </c>
      <c r="D57" t="s">
        <v>99</v>
      </c>
      <c r="E57" t="s">
        <v>260</v>
      </c>
      <c r="F57" t="s">
        <v>98</v>
      </c>
      <c r="G57" t="s">
        <v>164</v>
      </c>
      <c r="H57" t="s">
        <v>98</v>
      </c>
      <c r="I57" t="s">
        <v>100</v>
      </c>
      <c r="J57" t="s">
        <v>98</v>
      </c>
      <c r="K57" t="s">
        <v>104</v>
      </c>
      <c r="L57" t="s">
        <v>98</v>
      </c>
      <c r="M57" t="s">
        <v>261</v>
      </c>
      <c r="N57" t="s">
        <v>100</v>
      </c>
      <c r="O57" t="str">
        <f>CONCATENATE(A57,B57,C57,D57,E57,F57,G57,H57,I57,J57,K57,L57,M57,N57)</f>
        <v>"	descrip1":["	descrip1"," TEXT"],</v>
      </c>
    </row>
    <row r="58" spans="1:15" x14ac:dyDescent="0.25">
      <c r="A58" t="s">
        <v>98</v>
      </c>
      <c r="B58" t="s">
        <v>165</v>
      </c>
      <c r="C58" t="s">
        <v>98</v>
      </c>
      <c r="D58" t="s">
        <v>99</v>
      </c>
      <c r="E58" t="s">
        <v>260</v>
      </c>
      <c r="F58" t="s">
        <v>98</v>
      </c>
      <c r="G58" t="s">
        <v>165</v>
      </c>
      <c r="H58" t="s">
        <v>98</v>
      </c>
      <c r="I58" t="s">
        <v>100</v>
      </c>
      <c r="J58" t="s">
        <v>98</v>
      </c>
      <c r="K58" t="s">
        <v>104</v>
      </c>
      <c r="L58" t="s">
        <v>98</v>
      </c>
      <c r="M58" t="s">
        <v>261</v>
      </c>
      <c r="N58" t="s">
        <v>100</v>
      </c>
      <c r="O58" t="str">
        <f>CONCATENATE(A58,B58,C58,D58,E58,F58,G58,H58,I58,J58,K58,L58,M58,N58)</f>
        <v>"	descrip2":["	descrip2"," TEXT"],</v>
      </c>
    </row>
    <row r="59" spans="1:15" x14ac:dyDescent="0.25">
      <c r="A59" t="s">
        <v>98</v>
      </c>
      <c r="B59" t="s">
        <v>166</v>
      </c>
      <c r="C59" t="s">
        <v>98</v>
      </c>
      <c r="D59" t="s">
        <v>99</v>
      </c>
      <c r="E59" t="s">
        <v>260</v>
      </c>
      <c r="F59" t="s">
        <v>98</v>
      </c>
      <c r="G59" t="s">
        <v>166</v>
      </c>
      <c r="H59" t="s">
        <v>98</v>
      </c>
      <c r="I59" t="s">
        <v>100</v>
      </c>
      <c r="J59" t="s">
        <v>98</v>
      </c>
      <c r="K59" t="s">
        <v>104</v>
      </c>
      <c r="L59" t="s">
        <v>98</v>
      </c>
      <c r="M59" t="s">
        <v>261</v>
      </c>
      <c r="N59" t="s">
        <v>100</v>
      </c>
      <c r="O59" t="str">
        <f>CONCATENATE(A59,B59,C59,D59,E59,F59,G59,H59,I59,J59,K59,L59,M59,N59)</f>
        <v>"	turno":["	turno"," TEXT"],</v>
      </c>
    </row>
    <row r="60" spans="1:15" x14ac:dyDescent="0.25">
      <c r="A60" t="s">
        <v>98</v>
      </c>
      <c r="B60" t="s">
        <v>167</v>
      </c>
      <c r="C60" t="s">
        <v>98</v>
      </c>
      <c r="D60" t="s">
        <v>99</v>
      </c>
      <c r="E60" t="s">
        <v>260</v>
      </c>
      <c r="F60" t="s">
        <v>98</v>
      </c>
      <c r="G60" t="s">
        <v>167</v>
      </c>
      <c r="H60" t="s">
        <v>98</v>
      </c>
      <c r="I60" t="s">
        <v>100</v>
      </c>
      <c r="J60" t="s">
        <v>98</v>
      </c>
      <c r="K60" t="s">
        <v>104</v>
      </c>
      <c r="L60" t="s">
        <v>98</v>
      </c>
      <c r="M60" t="s">
        <v>261</v>
      </c>
      <c r="N60" t="s">
        <v>100</v>
      </c>
      <c r="O60" t="str">
        <f>CONCATENATE(A60,B60,C60,D60,E60,F60,G60,H60,I60,J60,K60,L60,M60,N60)</f>
        <v>"	almacen1":["	almacen1"," TEXT"],</v>
      </c>
    </row>
    <row r="61" spans="1:15" x14ac:dyDescent="0.25">
      <c r="A61" t="s">
        <v>98</v>
      </c>
      <c r="B61" t="s">
        <v>168</v>
      </c>
      <c r="C61" t="s">
        <v>98</v>
      </c>
      <c r="D61" t="s">
        <v>99</v>
      </c>
      <c r="E61" t="s">
        <v>260</v>
      </c>
      <c r="F61" t="s">
        <v>98</v>
      </c>
      <c r="G61" t="s">
        <v>168</v>
      </c>
      <c r="H61" t="s">
        <v>98</v>
      </c>
      <c r="I61" t="s">
        <v>100</v>
      </c>
      <c r="J61" t="s">
        <v>98</v>
      </c>
      <c r="K61" t="s">
        <v>104</v>
      </c>
      <c r="L61" t="s">
        <v>98</v>
      </c>
      <c r="M61" t="s">
        <v>261</v>
      </c>
      <c r="N61" t="s">
        <v>100</v>
      </c>
      <c r="O61" t="str">
        <f>CONCATENATE(A61,B61,C61,D61,E61,F61,G61,H61,I61,J61,K61,L61,M61,N61)</f>
        <v>"	fecham":["	fecham"," TEXT"],</v>
      </c>
    </row>
    <row r="62" spans="1:15" x14ac:dyDescent="0.25">
      <c r="A62" t="s">
        <v>98</v>
      </c>
      <c r="B62" t="s">
        <v>169</v>
      </c>
      <c r="C62" t="s">
        <v>98</v>
      </c>
      <c r="D62" t="s">
        <v>99</v>
      </c>
      <c r="E62" t="s">
        <v>260</v>
      </c>
      <c r="F62" t="s">
        <v>98</v>
      </c>
      <c r="G62" t="s">
        <v>169</v>
      </c>
      <c r="H62" t="s">
        <v>98</v>
      </c>
      <c r="I62" t="s">
        <v>100</v>
      </c>
      <c r="J62" t="s">
        <v>98</v>
      </c>
      <c r="K62" t="s">
        <v>104</v>
      </c>
      <c r="L62" t="s">
        <v>98</v>
      </c>
      <c r="M62" t="s">
        <v>261</v>
      </c>
      <c r="N62" t="s">
        <v>100</v>
      </c>
      <c r="O62" t="str">
        <f>CONCATENATE(A62,B62,C62,D62,E62,F62,G62,H62,I62,J62,K62,L62,M62,N62)</f>
        <v>"	fechavalidado":["	fechavalidado"," TEXT"],</v>
      </c>
    </row>
    <row r="63" spans="1:15" x14ac:dyDescent="0.25">
      <c r="A63" t="s">
        <v>98</v>
      </c>
      <c r="B63" t="s">
        <v>170</v>
      </c>
      <c r="C63" t="s">
        <v>98</v>
      </c>
      <c r="D63" t="s">
        <v>99</v>
      </c>
      <c r="E63" t="s">
        <v>260</v>
      </c>
      <c r="F63" t="s">
        <v>98</v>
      </c>
      <c r="G63" t="s">
        <v>170</v>
      </c>
      <c r="H63" t="s">
        <v>98</v>
      </c>
      <c r="I63" t="s">
        <v>100</v>
      </c>
      <c r="J63" t="s">
        <v>98</v>
      </c>
      <c r="K63" t="s">
        <v>104</v>
      </c>
      <c r="L63" t="s">
        <v>98</v>
      </c>
      <c r="M63" t="s">
        <v>261</v>
      </c>
      <c r="N63" t="s">
        <v>100</v>
      </c>
      <c r="O63" t="str">
        <f>CONCATENATE(A63,B63,C63,D63,E63,F63,G63,H63,I63,J63,K63,L63,M63,N63)</f>
        <v>"	dire":["	dire"," TEXT"],</v>
      </c>
    </row>
    <row r="64" spans="1:15" x14ac:dyDescent="0.25">
      <c r="A64" t="s">
        <v>98</v>
      </c>
      <c r="B64" t="s">
        <v>171</v>
      </c>
      <c r="C64" t="s">
        <v>98</v>
      </c>
      <c r="D64" t="s">
        <v>99</v>
      </c>
      <c r="E64" t="s">
        <v>260</v>
      </c>
      <c r="F64" t="s">
        <v>98</v>
      </c>
      <c r="G64" t="s">
        <v>171</v>
      </c>
      <c r="H64" t="s">
        <v>98</v>
      </c>
      <c r="I64" t="s">
        <v>100</v>
      </c>
      <c r="J64" t="s">
        <v>98</v>
      </c>
      <c r="K64" t="s">
        <v>104</v>
      </c>
      <c r="L64" t="s">
        <v>98</v>
      </c>
      <c r="M64" t="s">
        <v>261</v>
      </c>
      <c r="N64" t="s">
        <v>100</v>
      </c>
      <c r="O64" t="str">
        <f>CONCATENATE(A64,B64,C64,D64,E64,F64,G64,H64,I64,J64,K64,L64,M64,N64)</f>
        <v>"	ciudad":["	ciudad"," TEXT"],</v>
      </c>
    </row>
    <row r="65" spans="1:15" x14ac:dyDescent="0.25">
      <c r="A65" t="s">
        <v>98</v>
      </c>
      <c r="B65" t="s">
        <v>172</v>
      </c>
      <c r="C65" t="s">
        <v>98</v>
      </c>
      <c r="D65" t="s">
        <v>99</v>
      </c>
      <c r="E65" t="s">
        <v>260</v>
      </c>
      <c r="F65" t="s">
        <v>98</v>
      </c>
      <c r="G65" t="s">
        <v>172</v>
      </c>
      <c r="H65" t="s">
        <v>98</v>
      </c>
      <c r="I65" t="s">
        <v>100</v>
      </c>
      <c r="J65" t="s">
        <v>98</v>
      </c>
      <c r="K65" t="s">
        <v>104</v>
      </c>
      <c r="L65" t="s">
        <v>98</v>
      </c>
      <c r="M65" t="s">
        <v>261</v>
      </c>
      <c r="N65" t="s">
        <v>100</v>
      </c>
      <c r="O65" t="str">
        <f>CONCATENATE(A65,B65,C65,D65,E65,F65,G65,H65,I65,J65,K65,L65,M65,N65)</f>
        <v>"	tele":["	tele"," TEXT"],</v>
      </c>
    </row>
    <row r="66" spans="1:15" x14ac:dyDescent="0.25">
      <c r="A66" t="s">
        <v>98</v>
      </c>
      <c r="B66" t="s">
        <v>173</v>
      </c>
      <c r="C66" t="s">
        <v>98</v>
      </c>
      <c r="D66" t="s">
        <v>99</v>
      </c>
      <c r="E66" t="s">
        <v>260</v>
      </c>
      <c r="F66" t="s">
        <v>98</v>
      </c>
      <c r="G66" t="s">
        <v>173</v>
      </c>
      <c r="H66" t="s">
        <v>98</v>
      </c>
      <c r="I66" t="s">
        <v>100</v>
      </c>
      <c r="J66" t="s">
        <v>98</v>
      </c>
      <c r="K66" t="s">
        <v>107</v>
      </c>
      <c r="L66" t="s">
        <v>98</v>
      </c>
      <c r="M66" t="s">
        <v>261</v>
      </c>
      <c r="N66" t="s">
        <v>100</v>
      </c>
      <c r="O66" t="str">
        <f>CONCATENATE(A66,B66,C66,D66,E66,F66,G66,H66,I66,J66,K66,L66,M66,N66)</f>
        <v>"	tasa1":["	tasa1"," REAL"],</v>
      </c>
    </row>
    <row r="67" spans="1:15" x14ac:dyDescent="0.25">
      <c r="A67" t="s">
        <v>98</v>
      </c>
      <c r="B67" t="s">
        <v>174</v>
      </c>
      <c r="C67" t="s">
        <v>98</v>
      </c>
      <c r="D67" t="s">
        <v>99</v>
      </c>
      <c r="E67" t="s">
        <v>260</v>
      </c>
      <c r="F67" t="s">
        <v>98</v>
      </c>
      <c r="G67" t="s">
        <v>174</v>
      </c>
      <c r="H67" t="s">
        <v>98</v>
      </c>
      <c r="I67" t="s">
        <v>100</v>
      </c>
      <c r="J67" t="s">
        <v>98</v>
      </c>
      <c r="K67" t="s">
        <v>104</v>
      </c>
      <c r="L67" t="s">
        <v>98</v>
      </c>
      <c r="M67" t="s">
        <v>261</v>
      </c>
      <c r="N67" t="s">
        <v>100</v>
      </c>
      <c r="O67" t="str">
        <f>CONCATENATE(A67,B67,C67,D67,E67,F67,G67,H67,I67,J67,K67,L67,M67,N67)</f>
        <v>"	masitbis":["	masitbis"," TEXT"],</v>
      </c>
    </row>
    <row r="68" spans="1:15" x14ac:dyDescent="0.25">
      <c r="A68" t="s">
        <v>98</v>
      </c>
      <c r="B68" t="s">
        <v>175</v>
      </c>
      <c r="C68" t="s">
        <v>98</v>
      </c>
      <c r="D68" t="s">
        <v>99</v>
      </c>
      <c r="E68" t="s">
        <v>260</v>
      </c>
      <c r="F68" t="s">
        <v>98</v>
      </c>
      <c r="G68" t="s">
        <v>175</v>
      </c>
      <c r="H68" t="s">
        <v>98</v>
      </c>
      <c r="I68" t="s">
        <v>100</v>
      </c>
      <c r="J68" t="s">
        <v>98</v>
      </c>
      <c r="K68" t="s">
        <v>104</v>
      </c>
      <c r="L68" t="s">
        <v>98</v>
      </c>
      <c r="M68" t="s">
        <v>261</v>
      </c>
      <c r="N68" t="s">
        <v>100</v>
      </c>
      <c r="O68" t="str">
        <f>CONCATENATE(A68,B68,C68,D68,E68,F68,G68,H68,I68,J68,K68,L68,M68,N68)</f>
        <v>"	cedula":["	cedula"," TEXT"],</v>
      </c>
    </row>
    <row r="69" spans="1:15" x14ac:dyDescent="0.25">
      <c r="A69" t="s">
        <v>98</v>
      </c>
      <c r="B69" t="s">
        <v>176</v>
      </c>
      <c r="C69" t="s">
        <v>98</v>
      </c>
      <c r="D69" t="s">
        <v>99</v>
      </c>
      <c r="E69" t="s">
        <v>260</v>
      </c>
      <c r="F69" t="s">
        <v>98</v>
      </c>
      <c r="G69" t="s">
        <v>176</v>
      </c>
      <c r="H69" t="s">
        <v>98</v>
      </c>
      <c r="I69" t="s">
        <v>100</v>
      </c>
      <c r="J69" t="s">
        <v>98</v>
      </c>
      <c r="K69" t="s">
        <v>107</v>
      </c>
      <c r="L69" t="s">
        <v>98</v>
      </c>
      <c r="M69" t="s">
        <v>261</v>
      </c>
      <c r="N69" t="s">
        <v>100</v>
      </c>
      <c r="O69" t="str">
        <f>CONCATENATE(A69,B69,C69,D69,E69,F69,G69,H69,I69,J69,K69,L69,M69,N69)</f>
        <v>"	comision":["	comision"," REAL"],</v>
      </c>
    </row>
    <row r="70" spans="1:15" x14ac:dyDescent="0.25">
      <c r="A70" t="s">
        <v>98</v>
      </c>
      <c r="B70" t="s">
        <v>177</v>
      </c>
      <c r="C70" t="s">
        <v>98</v>
      </c>
      <c r="D70" t="s">
        <v>99</v>
      </c>
      <c r="E70" t="s">
        <v>260</v>
      </c>
      <c r="F70" t="s">
        <v>98</v>
      </c>
      <c r="G70" t="s">
        <v>177</v>
      </c>
      <c r="H70" t="s">
        <v>98</v>
      </c>
      <c r="I70" t="s">
        <v>100</v>
      </c>
      <c r="J70" t="s">
        <v>98</v>
      </c>
      <c r="K70" t="s">
        <v>104</v>
      </c>
      <c r="L70" t="s">
        <v>98</v>
      </c>
      <c r="M70" t="s">
        <v>261</v>
      </c>
      <c r="N70" t="s">
        <v>100</v>
      </c>
      <c r="O70" t="str">
        <f>CONCATENATE(A70,B70,C70,D70,E70,F70,G70,H70,I70,J70,K70,L70,M70,N70)</f>
        <v>"	ncf1":["	ncf1"," TEXT"],</v>
      </c>
    </row>
    <row r="71" spans="1:15" x14ac:dyDescent="0.25">
      <c r="A71" t="s">
        <v>98</v>
      </c>
      <c r="B71" t="s">
        <v>178</v>
      </c>
      <c r="C71" t="s">
        <v>98</v>
      </c>
      <c r="D71" t="s">
        <v>99</v>
      </c>
      <c r="E71" t="s">
        <v>260</v>
      </c>
      <c r="F71" t="s">
        <v>98</v>
      </c>
      <c r="G71" t="s">
        <v>178</v>
      </c>
      <c r="H71" t="s">
        <v>98</v>
      </c>
      <c r="I71" t="s">
        <v>100</v>
      </c>
      <c r="J71" t="s">
        <v>98</v>
      </c>
      <c r="K71" t="s">
        <v>107</v>
      </c>
      <c r="L71" t="s">
        <v>98</v>
      </c>
      <c r="M71" t="s">
        <v>261</v>
      </c>
      <c r="N71" t="s">
        <v>100</v>
      </c>
      <c r="O71" t="str">
        <f>CONCATENATE(A71,B71,C71,D71,E71,F71,G71,H71,I71,J71,K71,L71,M71,N71)</f>
        <v>"	egreso":["	egreso"," REAL"],</v>
      </c>
    </row>
    <row r="72" spans="1:15" x14ac:dyDescent="0.25">
      <c r="A72" t="s">
        <v>98</v>
      </c>
      <c r="B72" t="s">
        <v>179</v>
      </c>
      <c r="C72" t="s">
        <v>98</v>
      </c>
      <c r="D72" t="s">
        <v>99</v>
      </c>
      <c r="E72" t="s">
        <v>260</v>
      </c>
      <c r="F72" t="s">
        <v>98</v>
      </c>
      <c r="G72" t="s">
        <v>179</v>
      </c>
      <c r="H72" t="s">
        <v>98</v>
      </c>
      <c r="I72" t="s">
        <v>100</v>
      </c>
      <c r="J72" t="s">
        <v>98</v>
      </c>
      <c r="K72" t="s">
        <v>107</v>
      </c>
      <c r="L72" t="s">
        <v>98</v>
      </c>
      <c r="M72" t="s">
        <v>261</v>
      </c>
      <c r="N72" t="s">
        <v>100</v>
      </c>
      <c r="O72" t="str">
        <f>CONCATENATE(A72,B72,C72,D72,E72,F72,G72,H72,I72,J72,K72,L72,M72,N72)</f>
        <v>"	factor":["	factor"," REAL"],</v>
      </c>
    </row>
    <row r="73" spans="1:15" x14ac:dyDescent="0.25">
      <c r="A73" t="s">
        <v>98</v>
      </c>
      <c r="B73" t="s">
        <v>180</v>
      </c>
      <c r="C73" t="s">
        <v>98</v>
      </c>
      <c r="D73" t="s">
        <v>99</v>
      </c>
      <c r="E73" t="s">
        <v>260</v>
      </c>
      <c r="F73" t="s">
        <v>98</v>
      </c>
      <c r="G73" t="s">
        <v>180</v>
      </c>
      <c r="H73" t="s">
        <v>98</v>
      </c>
      <c r="I73" t="s">
        <v>100</v>
      </c>
      <c r="J73" t="s">
        <v>98</v>
      </c>
      <c r="K73" t="s">
        <v>104</v>
      </c>
      <c r="L73" t="s">
        <v>98</v>
      </c>
      <c r="M73" t="s">
        <v>261</v>
      </c>
      <c r="N73" t="s">
        <v>100</v>
      </c>
      <c r="O73" t="str">
        <f>CONCATENATE(A73,B73,C73,D73,E73,F73,G73,H73,I73,J73,K73,L73,M73,N73)</f>
        <v>"	procesar":["	procesar"," TEXT"],</v>
      </c>
    </row>
    <row r="74" spans="1:15" x14ac:dyDescent="0.25">
      <c r="A74" t="s">
        <v>98</v>
      </c>
      <c r="B74" t="s">
        <v>181</v>
      </c>
      <c r="C74" t="s">
        <v>98</v>
      </c>
      <c r="D74" t="s">
        <v>99</v>
      </c>
      <c r="E74" t="s">
        <v>260</v>
      </c>
      <c r="F74" t="s">
        <v>98</v>
      </c>
      <c r="G74" t="s">
        <v>181</v>
      </c>
      <c r="H74" t="s">
        <v>98</v>
      </c>
      <c r="I74" t="s">
        <v>100</v>
      </c>
      <c r="J74" t="s">
        <v>98</v>
      </c>
      <c r="K74" t="s">
        <v>104</v>
      </c>
      <c r="L74" t="s">
        <v>98</v>
      </c>
      <c r="M74" t="s">
        <v>261</v>
      </c>
      <c r="N74" t="s">
        <v>100</v>
      </c>
      <c r="O74" t="str">
        <f>CONCATENATE(A74,B74,C74,D74,E74,F74,G74,H74,I74,J74,K74,L74,M74,N74)</f>
        <v>"	observa2":["	observa2"," TEXT"],</v>
      </c>
    </row>
    <row r="75" spans="1:15" x14ac:dyDescent="0.25">
      <c r="A75" t="s">
        <v>98</v>
      </c>
      <c r="B75" t="s">
        <v>182</v>
      </c>
      <c r="C75" t="s">
        <v>98</v>
      </c>
      <c r="D75" t="s">
        <v>99</v>
      </c>
      <c r="E75" t="s">
        <v>260</v>
      </c>
      <c r="F75" t="s">
        <v>98</v>
      </c>
      <c r="G75" t="s">
        <v>182</v>
      </c>
      <c r="H75" t="s">
        <v>98</v>
      </c>
      <c r="I75" t="s">
        <v>100</v>
      </c>
      <c r="J75" t="s">
        <v>98</v>
      </c>
      <c r="K75" t="s">
        <v>104</v>
      </c>
      <c r="L75" t="s">
        <v>98</v>
      </c>
      <c r="M75" t="s">
        <v>261</v>
      </c>
      <c r="N75" t="s">
        <v>100</v>
      </c>
      <c r="O75" t="str">
        <f>CONCATENATE(A75,B75,C75,D75,E75,F75,G75,H75,I75,J75,K75,L75,M75,N75)</f>
        <v>"	anulado":["	anulado"," TEXT"],</v>
      </c>
    </row>
    <row r="76" spans="1:15" x14ac:dyDescent="0.25">
      <c r="A76" t="s">
        <v>98</v>
      </c>
      <c r="B76" t="s">
        <v>183</v>
      </c>
      <c r="C76" t="s">
        <v>98</v>
      </c>
      <c r="D76" t="s">
        <v>99</v>
      </c>
      <c r="E76" t="s">
        <v>260</v>
      </c>
      <c r="F76" t="s">
        <v>98</v>
      </c>
      <c r="G76" t="s">
        <v>183</v>
      </c>
      <c r="H76" t="s">
        <v>98</v>
      </c>
      <c r="I76" t="s">
        <v>100</v>
      </c>
      <c r="J76" t="s">
        <v>98</v>
      </c>
      <c r="K76" t="s">
        <v>104</v>
      </c>
      <c r="L76" t="s">
        <v>98</v>
      </c>
      <c r="M76" t="s">
        <v>261</v>
      </c>
      <c r="N76" t="s">
        <v>100</v>
      </c>
      <c r="O76" t="str">
        <f>CONCATENATE(A76,B76,C76,D76,E76,F76,G76,H76,I76,J76,K76,L76,M76,N76)</f>
        <v>"	conduce2":["	conduce2"," TEXT"],</v>
      </c>
    </row>
    <row r="77" spans="1:15" x14ac:dyDescent="0.25">
      <c r="A77" t="s">
        <v>98</v>
      </c>
      <c r="B77" t="s">
        <v>184</v>
      </c>
      <c r="C77" t="s">
        <v>98</v>
      </c>
      <c r="D77" t="s">
        <v>99</v>
      </c>
      <c r="E77" t="s">
        <v>260</v>
      </c>
      <c r="F77" t="s">
        <v>98</v>
      </c>
      <c r="G77" t="s">
        <v>184</v>
      </c>
      <c r="H77" t="s">
        <v>98</v>
      </c>
      <c r="I77" t="s">
        <v>100</v>
      </c>
      <c r="J77" t="s">
        <v>98</v>
      </c>
      <c r="K77" t="s">
        <v>104</v>
      </c>
      <c r="L77" t="s">
        <v>98</v>
      </c>
      <c r="M77" t="s">
        <v>261</v>
      </c>
      <c r="N77" t="s">
        <v>100</v>
      </c>
      <c r="O77" t="str">
        <f>CONCATENATE(A77,B77,C77,D77,E77,F77,G77,H77,I77,J77,K77,L77,M77,N77)</f>
        <v>"	conduce3":["	conduce3"," TEXT"],</v>
      </c>
    </row>
    <row r="78" spans="1:15" x14ac:dyDescent="0.25">
      <c r="A78" t="s">
        <v>98</v>
      </c>
      <c r="B78" t="s">
        <v>185</v>
      </c>
      <c r="C78" t="s">
        <v>98</v>
      </c>
      <c r="D78" t="s">
        <v>99</v>
      </c>
      <c r="E78" t="s">
        <v>260</v>
      </c>
      <c r="F78" t="s">
        <v>98</v>
      </c>
      <c r="G78" t="s">
        <v>185</v>
      </c>
      <c r="H78" t="s">
        <v>98</v>
      </c>
      <c r="I78" t="s">
        <v>100</v>
      </c>
      <c r="J78" t="s">
        <v>98</v>
      </c>
      <c r="K78" t="s">
        <v>104</v>
      </c>
      <c r="L78" t="s">
        <v>98</v>
      </c>
      <c r="M78" t="s">
        <v>261</v>
      </c>
      <c r="N78" t="s">
        <v>100</v>
      </c>
      <c r="O78" t="str">
        <f>CONCATENATE(A78,B78,C78,D78,E78,F78,G78,H78,I78,J78,K78,L78,M78,N78)</f>
        <v>"	conduce4":["	conduce4"," TEXT"],</v>
      </c>
    </row>
    <row r="79" spans="1:15" x14ac:dyDescent="0.25">
      <c r="A79" t="s">
        <v>98</v>
      </c>
      <c r="B79" t="s">
        <v>186</v>
      </c>
      <c r="C79" t="s">
        <v>98</v>
      </c>
      <c r="D79" t="s">
        <v>99</v>
      </c>
      <c r="E79" t="s">
        <v>260</v>
      </c>
      <c r="F79" t="s">
        <v>98</v>
      </c>
      <c r="G79" t="s">
        <v>186</v>
      </c>
      <c r="H79" t="s">
        <v>98</v>
      </c>
      <c r="I79" t="s">
        <v>100</v>
      </c>
      <c r="J79" t="s">
        <v>98</v>
      </c>
      <c r="K79" t="s">
        <v>107</v>
      </c>
      <c r="L79" t="s">
        <v>98</v>
      </c>
      <c r="M79" t="s">
        <v>261</v>
      </c>
      <c r="N79" t="s">
        <v>100</v>
      </c>
      <c r="O79" t="str">
        <f>CONCATENATE(A79,B79,C79,D79,E79,F79,G79,H79,I79,J79,K79,L79,M79,N79)</f>
        <v>"	lectura1":["	lectura1"," REAL"],</v>
      </c>
    </row>
    <row r="80" spans="1:15" x14ac:dyDescent="0.25">
      <c r="A80" t="s">
        <v>98</v>
      </c>
      <c r="B80" t="s">
        <v>187</v>
      </c>
      <c r="C80" t="s">
        <v>98</v>
      </c>
      <c r="D80" t="s">
        <v>99</v>
      </c>
      <c r="E80" t="s">
        <v>260</v>
      </c>
      <c r="F80" t="s">
        <v>98</v>
      </c>
      <c r="G80" t="s">
        <v>187</v>
      </c>
      <c r="H80" t="s">
        <v>98</v>
      </c>
      <c r="I80" t="s">
        <v>100</v>
      </c>
      <c r="J80" t="s">
        <v>98</v>
      </c>
      <c r="K80" t="s">
        <v>107</v>
      </c>
      <c r="L80" t="s">
        <v>98</v>
      </c>
      <c r="M80" t="s">
        <v>261</v>
      </c>
      <c r="N80" t="s">
        <v>100</v>
      </c>
      <c r="O80" t="str">
        <f>CONCATENATE(A80,B80,C80,D80,E80,F80,G80,H80,I80,J80,K80,L80,M80,N80)</f>
        <v>"	lectura2":["	lectura2"," REAL"],</v>
      </c>
    </row>
    <row r="81" spans="1:15" x14ac:dyDescent="0.25">
      <c r="A81" t="s">
        <v>98</v>
      </c>
      <c r="B81" t="s">
        <v>188</v>
      </c>
      <c r="C81" t="s">
        <v>98</v>
      </c>
      <c r="D81" t="s">
        <v>99</v>
      </c>
      <c r="E81" t="s">
        <v>260</v>
      </c>
      <c r="F81" t="s">
        <v>98</v>
      </c>
      <c r="G81" t="s">
        <v>188</v>
      </c>
      <c r="H81" t="s">
        <v>98</v>
      </c>
      <c r="I81" t="s">
        <v>100</v>
      </c>
      <c r="J81" t="s">
        <v>98</v>
      </c>
      <c r="K81" t="s">
        <v>107</v>
      </c>
      <c r="L81" t="s">
        <v>98</v>
      </c>
      <c r="M81" t="s">
        <v>261</v>
      </c>
      <c r="N81" t="s">
        <v>100</v>
      </c>
      <c r="O81" t="str">
        <f>CONCATENATE(A81,B81,C81,D81,E81,F81,G81,H81,I81,J81,K81,L81,M81,N81)</f>
        <v>"	lectura3":["	lectura3"," REAL"],</v>
      </c>
    </row>
    <row r="82" spans="1:15" x14ac:dyDescent="0.25">
      <c r="A82" t="s">
        <v>98</v>
      </c>
      <c r="B82" t="s">
        <v>189</v>
      </c>
      <c r="C82" t="s">
        <v>98</v>
      </c>
      <c r="D82" t="s">
        <v>99</v>
      </c>
      <c r="E82" t="s">
        <v>260</v>
      </c>
      <c r="F82" t="s">
        <v>98</v>
      </c>
      <c r="G82" t="s">
        <v>189</v>
      </c>
      <c r="H82" t="s">
        <v>98</v>
      </c>
      <c r="I82" t="s">
        <v>100</v>
      </c>
      <c r="J82" t="s">
        <v>98</v>
      </c>
      <c r="K82" t="s">
        <v>104</v>
      </c>
      <c r="L82" t="s">
        <v>98</v>
      </c>
      <c r="M82" t="s">
        <v>261</v>
      </c>
      <c r="N82" t="s">
        <v>100</v>
      </c>
      <c r="O82" t="str">
        <f>CONCATENATE(A82,B82,C82,D82,E82,F82,G82,H82,I82,J82,K82,L82,M82,N82)</f>
        <v>"	ncftipo":["	ncftipo"," TEXT"],</v>
      </c>
    </row>
    <row r="83" spans="1:15" x14ac:dyDescent="0.25">
      <c r="A83" t="s">
        <v>98</v>
      </c>
      <c r="B83" t="s">
        <v>190</v>
      </c>
      <c r="C83" t="s">
        <v>98</v>
      </c>
      <c r="D83" t="s">
        <v>99</v>
      </c>
      <c r="E83" t="s">
        <v>260</v>
      </c>
      <c r="F83" t="s">
        <v>98</v>
      </c>
      <c r="G83" t="s">
        <v>190</v>
      </c>
      <c r="H83" t="s">
        <v>98</v>
      </c>
      <c r="I83" t="s">
        <v>100</v>
      </c>
      <c r="J83" t="s">
        <v>98</v>
      </c>
      <c r="K83" t="s">
        <v>104</v>
      </c>
      <c r="L83" t="s">
        <v>98</v>
      </c>
      <c r="M83" t="s">
        <v>261</v>
      </c>
      <c r="N83" t="s">
        <v>100</v>
      </c>
      <c r="O83" t="str">
        <f>CONCATENATE(A83,B83,C83,D83,E83,F83,G83,H83,I83,J83,K83,L83,M83,N83)</f>
        <v>"	generancf":["	generancf"," TEXT"],</v>
      </c>
    </row>
    <row r="84" spans="1:15" x14ac:dyDescent="0.25">
      <c r="A84" t="s">
        <v>98</v>
      </c>
      <c r="B84" t="s">
        <v>191</v>
      </c>
      <c r="C84" t="s">
        <v>98</v>
      </c>
      <c r="D84" t="s">
        <v>99</v>
      </c>
      <c r="E84" t="s">
        <v>260</v>
      </c>
      <c r="F84" t="s">
        <v>98</v>
      </c>
      <c r="G84" t="s">
        <v>191</v>
      </c>
      <c r="H84" t="s">
        <v>98</v>
      </c>
      <c r="I84" t="s">
        <v>100</v>
      </c>
      <c r="J84" t="s">
        <v>98</v>
      </c>
      <c r="K84" t="s">
        <v>107</v>
      </c>
      <c r="L84" t="s">
        <v>98</v>
      </c>
      <c r="M84" t="s">
        <v>261</v>
      </c>
      <c r="N84" t="s">
        <v>100</v>
      </c>
      <c r="O84" t="str">
        <f>CONCATENATE(A84,B84,C84,D84,E84,F84,G84,H84,I84,J84,K84,L84,M84,N84)</f>
        <v>"	diferencia":["	diferencia"," REAL"],</v>
      </c>
    </row>
    <row r="85" spans="1:15" x14ac:dyDescent="0.25">
      <c r="A85" t="s">
        <v>98</v>
      </c>
      <c r="B85" t="s">
        <v>192</v>
      </c>
      <c r="C85" t="s">
        <v>98</v>
      </c>
      <c r="D85" t="s">
        <v>99</v>
      </c>
      <c r="E85" t="s">
        <v>260</v>
      </c>
      <c r="F85" t="s">
        <v>98</v>
      </c>
      <c r="G85" t="s">
        <v>192</v>
      </c>
      <c r="H85" t="s">
        <v>98</v>
      </c>
      <c r="I85" t="s">
        <v>100</v>
      </c>
      <c r="J85" t="s">
        <v>98</v>
      </c>
      <c r="K85" t="s">
        <v>107</v>
      </c>
      <c r="L85" t="s">
        <v>98</v>
      </c>
      <c r="M85" t="s">
        <v>261</v>
      </c>
      <c r="N85" t="s">
        <v>100</v>
      </c>
      <c r="O85" t="str">
        <f>CONCATENATE(A85,B85,C85,D85,E85,F85,G85,H85,I85,J85,K85,L85,M85,N85)</f>
        <v>"	devolucion":["	devolucion"," REAL"],</v>
      </c>
    </row>
    <row r="86" spans="1:15" x14ac:dyDescent="0.25">
      <c r="A86" t="s">
        <v>98</v>
      </c>
      <c r="B86" t="s">
        <v>193</v>
      </c>
      <c r="C86" t="s">
        <v>98</v>
      </c>
      <c r="D86" t="s">
        <v>99</v>
      </c>
      <c r="E86" t="s">
        <v>260</v>
      </c>
      <c r="F86" t="s">
        <v>98</v>
      </c>
      <c r="G86" t="s">
        <v>193</v>
      </c>
      <c r="H86" t="s">
        <v>98</v>
      </c>
      <c r="I86" t="s">
        <v>100</v>
      </c>
      <c r="J86" t="s">
        <v>98</v>
      </c>
      <c r="K86" t="s">
        <v>104</v>
      </c>
      <c r="L86" t="s">
        <v>98</v>
      </c>
      <c r="M86" t="s">
        <v>261</v>
      </c>
      <c r="N86" t="s">
        <v>100</v>
      </c>
      <c r="O86" t="str">
        <f>CONCATENATE(A86,B86,C86,D86,E86,F86,G86,H86,I86,J86,K86,L86,M86,N86)</f>
        <v>"	modificado":["	modificado"," TEXT"],</v>
      </c>
    </row>
    <row r="87" spans="1:15" x14ac:dyDescent="0.25">
      <c r="A87" t="s">
        <v>98</v>
      </c>
      <c r="B87" t="s">
        <v>194</v>
      </c>
      <c r="C87" t="s">
        <v>98</v>
      </c>
      <c r="D87" t="s">
        <v>99</v>
      </c>
      <c r="E87" t="s">
        <v>260</v>
      </c>
      <c r="F87" t="s">
        <v>98</v>
      </c>
      <c r="G87" t="s">
        <v>194</v>
      </c>
      <c r="H87" t="s">
        <v>98</v>
      </c>
      <c r="I87" t="s">
        <v>100</v>
      </c>
      <c r="J87" t="s">
        <v>98</v>
      </c>
      <c r="K87" t="s">
        <v>107</v>
      </c>
      <c r="L87" t="s">
        <v>98</v>
      </c>
      <c r="M87" t="s">
        <v>261</v>
      </c>
      <c r="N87" t="s">
        <v>100</v>
      </c>
      <c r="O87" t="str">
        <f>CONCATENATE(A87,B87,C87,D87,E87,F87,G87,H87,I87,J87,K87,L87,M87,N87)</f>
        <v>"	devuelta":["	devuelta"," REAL"],</v>
      </c>
    </row>
    <row r="88" spans="1:15" x14ac:dyDescent="0.25">
      <c r="A88" t="s">
        <v>98</v>
      </c>
      <c r="B88" t="s">
        <v>195</v>
      </c>
      <c r="C88" t="s">
        <v>98</v>
      </c>
      <c r="D88" t="s">
        <v>99</v>
      </c>
      <c r="E88" t="s">
        <v>260</v>
      </c>
      <c r="F88" t="s">
        <v>98</v>
      </c>
      <c r="G88" t="s">
        <v>195</v>
      </c>
      <c r="H88" t="s">
        <v>98</v>
      </c>
      <c r="I88" t="s">
        <v>100</v>
      </c>
      <c r="J88" t="s">
        <v>98</v>
      </c>
      <c r="K88" t="s">
        <v>104</v>
      </c>
      <c r="L88" t="s">
        <v>98</v>
      </c>
      <c r="M88" t="s">
        <v>261</v>
      </c>
      <c r="N88" t="s">
        <v>100</v>
      </c>
      <c r="O88" t="str">
        <f>CONCATENATE(A88,B88,C88,D88,E88,F88,G88,H88,I88,J88,K88,L88,M88,N88)</f>
        <v>"	tcredito":["	tcredito"," TEXT"],</v>
      </c>
    </row>
    <row r="89" spans="1:15" x14ac:dyDescent="0.25">
      <c r="A89" t="s">
        <v>98</v>
      </c>
      <c r="B89" t="s">
        <v>196</v>
      </c>
      <c r="C89" t="s">
        <v>98</v>
      </c>
      <c r="D89" t="s">
        <v>99</v>
      </c>
      <c r="E89" t="s">
        <v>260</v>
      </c>
      <c r="F89" t="s">
        <v>98</v>
      </c>
      <c r="G89" t="s">
        <v>196</v>
      </c>
      <c r="H89" t="s">
        <v>98</v>
      </c>
      <c r="I89" t="s">
        <v>100</v>
      </c>
      <c r="J89" t="s">
        <v>98</v>
      </c>
      <c r="K89" t="s">
        <v>104</v>
      </c>
      <c r="L89" t="s">
        <v>98</v>
      </c>
      <c r="M89" t="s">
        <v>261</v>
      </c>
      <c r="N89" t="s">
        <v>100</v>
      </c>
      <c r="O89" t="str">
        <f>CONCATENATE(A89,B89,C89,D89,E89,F89,G89,H89,I89,J89,K89,L89,M89,N89)</f>
        <v>"	sucursal1":["	sucursal1"," TEXT"],</v>
      </c>
    </row>
    <row r="90" spans="1:15" x14ac:dyDescent="0.25">
      <c r="A90" t="s">
        <v>98</v>
      </c>
      <c r="B90" t="s">
        <v>197</v>
      </c>
      <c r="C90" t="s">
        <v>98</v>
      </c>
      <c r="D90" t="s">
        <v>99</v>
      </c>
      <c r="E90" t="s">
        <v>260</v>
      </c>
      <c r="F90" t="s">
        <v>98</v>
      </c>
      <c r="G90" t="s">
        <v>197</v>
      </c>
      <c r="H90" t="s">
        <v>98</v>
      </c>
      <c r="I90" t="s">
        <v>100</v>
      </c>
      <c r="J90" t="s">
        <v>98</v>
      </c>
      <c r="K90" t="s">
        <v>107</v>
      </c>
      <c r="L90" t="s">
        <v>98</v>
      </c>
      <c r="M90" t="s">
        <v>261</v>
      </c>
      <c r="N90" t="s">
        <v>100</v>
      </c>
      <c r="O90" t="str">
        <f>CONCATENATE(A90,B90,C90,D90,E90,F90,G90,H90,I90,J90,K90,L90,M90,N90)</f>
        <v>"	cnttransa":["	cnttransa"," REAL"],</v>
      </c>
    </row>
    <row r="91" spans="1:15" x14ac:dyDescent="0.25">
      <c r="A91" t="s">
        <v>98</v>
      </c>
      <c r="B91" t="s">
        <v>198</v>
      </c>
      <c r="C91" t="s">
        <v>98</v>
      </c>
      <c r="D91" t="s">
        <v>99</v>
      </c>
      <c r="E91" t="s">
        <v>260</v>
      </c>
      <c r="F91" t="s">
        <v>98</v>
      </c>
      <c r="G91" t="s">
        <v>198</v>
      </c>
      <c r="H91" t="s">
        <v>98</v>
      </c>
      <c r="I91" t="s">
        <v>100</v>
      </c>
      <c r="J91" t="s">
        <v>98</v>
      </c>
      <c r="K91" t="s">
        <v>106</v>
      </c>
      <c r="L91" t="s">
        <v>98</v>
      </c>
      <c r="M91" t="s">
        <v>261</v>
      </c>
      <c r="N91" t="s">
        <v>100</v>
      </c>
      <c r="O91" t="str">
        <f>CONCATENATE(A91,B91,C91,D91,E91,F91,G91,H91,I91,J91,K91,L91,M91,N91)</f>
        <v>"	fVencimientoNCF":["	fVencimientoNCF"," DATETIME"],</v>
      </c>
    </row>
    <row r="92" spans="1:15" x14ac:dyDescent="0.25">
      <c r="A92" t="s">
        <v>98</v>
      </c>
      <c r="B92" t="s">
        <v>199</v>
      </c>
      <c r="C92" t="s">
        <v>98</v>
      </c>
      <c r="D92" t="s">
        <v>99</v>
      </c>
      <c r="E92" t="s">
        <v>260</v>
      </c>
      <c r="F92" t="s">
        <v>98</v>
      </c>
      <c r="G92" t="s">
        <v>199</v>
      </c>
      <c r="H92" t="s">
        <v>98</v>
      </c>
      <c r="I92" t="s">
        <v>100</v>
      </c>
      <c r="J92" t="s">
        <v>98</v>
      </c>
      <c r="K92" t="s">
        <v>104</v>
      </c>
      <c r="L92" t="s">
        <v>98</v>
      </c>
      <c r="M92" t="s">
        <v>261</v>
      </c>
      <c r="N92" t="s">
        <v>100</v>
      </c>
      <c r="O92" t="str">
        <f>CONCATENATE(A92,B92,C92,D92,E92,F92,G92,H92,I92,J92,K92,L92,M92,N92)</f>
        <v>"	contacto":["	contacto"," TEXT"],</v>
      </c>
    </row>
    <row r="93" spans="1:15" x14ac:dyDescent="0.25">
      <c r="A93" t="s">
        <v>98</v>
      </c>
      <c r="B93" t="s">
        <v>200</v>
      </c>
      <c r="C93" t="s">
        <v>98</v>
      </c>
      <c r="D93" t="s">
        <v>99</v>
      </c>
      <c r="E93" t="s">
        <v>260</v>
      </c>
      <c r="F93" t="s">
        <v>98</v>
      </c>
      <c r="G93" t="s">
        <v>200</v>
      </c>
      <c r="H93" t="s">
        <v>98</v>
      </c>
      <c r="I93" t="s">
        <v>100</v>
      </c>
      <c r="J93" t="s">
        <v>98</v>
      </c>
      <c r="K93" t="s">
        <v>104</v>
      </c>
      <c r="L93" t="s">
        <v>98</v>
      </c>
      <c r="M93" t="s">
        <v>261</v>
      </c>
      <c r="N93" t="s">
        <v>100</v>
      </c>
      <c r="O93" t="str">
        <f>CONCATENATE(A93,B93,C93,D93,E93,F93,G93,H93,I93,J93,K93,L93,M93,N93)</f>
        <v>"	idsucursal":["	idsucursal"," TEXT"],</v>
      </c>
    </row>
    <row r="94" spans="1:15" x14ac:dyDescent="0.25">
      <c r="A94" t="s">
        <v>98</v>
      </c>
      <c r="B94" t="s">
        <v>201</v>
      </c>
      <c r="C94" t="s">
        <v>98</v>
      </c>
      <c r="D94" t="s">
        <v>99</v>
      </c>
      <c r="E94" t="s">
        <v>260</v>
      </c>
      <c r="F94" t="s">
        <v>98</v>
      </c>
      <c r="G94" t="s">
        <v>201</v>
      </c>
      <c r="H94" t="s">
        <v>98</v>
      </c>
      <c r="I94" t="s">
        <v>100</v>
      </c>
      <c r="J94" t="s">
        <v>98</v>
      </c>
      <c r="K94" t="s">
        <v>107</v>
      </c>
      <c r="L94" t="s">
        <v>98</v>
      </c>
      <c r="M94" t="s">
        <v>261</v>
      </c>
      <c r="N94" t="s">
        <v>100</v>
      </c>
      <c r="O94" t="str">
        <f>CONCATENATE(A94,B94,C94,D94,E94,F94,G94,H94,I94,J94,K94,L94,M94,N94)</f>
        <v>"	tasa":["	tasa"," REAL"],</v>
      </c>
    </row>
    <row r="95" spans="1:15" x14ac:dyDescent="0.25">
      <c r="A95" t="s">
        <v>98</v>
      </c>
      <c r="B95" t="s">
        <v>202</v>
      </c>
      <c r="C95" t="s">
        <v>98</v>
      </c>
      <c r="D95" t="s">
        <v>99</v>
      </c>
      <c r="E95" t="s">
        <v>260</v>
      </c>
      <c r="F95" t="s">
        <v>98</v>
      </c>
      <c r="G95" t="s">
        <v>202</v>
      </c>
      <c r="H95" t="s">
        <v>98</v>
      </c>
      <c r="I95" t="s">
        <v>100</v>
      </c>
      <c r="J95" t="s">
        <v>98</v>
      </c>
      <c r="K95" t="s">
        <v>104</v>
      </c>
      <c r="L95" t="s">
        <v>98</v>
      </c>
      <c r="M95" t="s">
        <v>261</v>
      </c>
      <c r="N95" t="s">
        <v>100</v>
      </c>
      <c r="O95" t="str">
        <f>CONCATENATE(A95,B95,C95,D95,E95,F95,G95,H95,I95,J95,K95,L95,M95,N95)</f>
        <v>"	clasifica2":["	clasifica2"," TEXT"],</v>
      </c>
    </row>
    <row r="96" spans="1:15" x14ac:dyDescent="0.25">
      <c r="A96" t="s">
        <v>98</v>
      </c>
      <c r="B96" t="s">
        <v>203</v>
      </c>
      <c r="C96" t="s">
        <v>98</v>
      </c>
      <c r="D96" t="s">
        <v>99</v>
      </c>
      <c r="E96" t="s">
        <v>260</v>
      </c>
      <c r="F96" t="s">
        <v>98</v>
      </c>
      <c r="G96" t="s">
        <v>203</v>
      </c>
      <c r="H96" t="s">
        <v>98</v>
      </c>
      <c r="I96" t="s">
        <v>100</v>
      </c>
      <c r="J96" t="s">
        <v>98</v>
      </c>
      <c r="K96" t="s">
        <v>104</v>
      </c>
      <c r="L96" t="s">
        <v>98</v>
      </c>
      <c r="M96" t="s">
        <v>261</v>
      </c>
      <c r="N96" t="s">
        <v>100</v>
      </c>
      <c r="O96" t="str">
        <f>CONCATENATE(A96,B96,C96,D96,E96,F96,G96,H96,I96,J96,K96,L96,M96,N96)</f>
        <v>"	e_ncfcode":["	e_ncfcode"," TEXT"],</v>
      </c>
    </row>
    <row r="97" spans="1:15" x14ac:dyDescent="0.25">
      <c r="A97" t="s">
        <v>98</v>
      </c>
      <c r="B97" t="s">
        <v>204</v>
      </c>
      <c r="C97" t="s">
        <v>98</v>
      </c>
      <c r="D97" t="s">
        <v>99</v>
      </c>
      <c r="E97" t="s">
        <v>260</v>
      </c>
      <c r="F97" t="s">
        <v>98</v>
      </c>
      <c r="G97" t="s">
        <v>204</v>
      </c>
      <c r="H97" t="s">
        <v>98</v>
      </c>
      <c r="I97" t="s">
        <v>100</v>
      </c>
      <c r="J97" t="s">
        <v>98</v>
      </c>
      <c r="K97" t="s">
        <v>107</v>
      </c>
      <c r="L97" t="s">
        <v>98</v>
      </c>
      <c r="M97" t="s">
        <v>261</v>
      </c>
      <c r="N97" t="s">
        <v>100</v>
      </c>
      <c r="O97" t="str">
        <f>CONCATENATE(A97,B97,C97,D97,E97,F97,G97,H97,I97,J97,K97,L97,M97,N97)</f>
        <v>"	Transferencia":["	Transferencia"," REAL"],</v>
      </c>
    </row>
    <row r="98" spans="1:15" x14ac:dyDescent="0.25">
      <c r="A98" t="s">
        <v>98</v>
      </c>
      <c r="B98" t="s">
        <v>205</v>
      </c>
      <c r="C98" t="s">
        <v>98</v>
      </c>
      <c r="D98" t="s">
        <v>99</v>
      </c>
      <c r="E98" t="s">
        <v>260</v>
      </c>
      <c r="F98" t="s">
        <v>98</v>
      </c>
      <c r="G98" t="s">
        <v>205</v>
      </c>
      <c r="H98" t="s">
        <v>98</v>
      </c>
      <c r="I98" t="s">
        <v>100</v>
      </c>
      <c r="J98" t="s">
        <v>98</v>
      </c>
      <c r="K98" t="s">
        <v>107</v>
      </c>
      <c r="L98" t="s">
        <v>98</v>
      </c>
      <c r="M98" t="s">
        <v>261</v>
      </c>
      <c r="N98" t="s">
        <v>100</v>
      </c>
      <c r="O98" t="str">
        <f>CONCATENATE(A98,B98,C98,D98,E98,F98,G98,H98,I98,J98,K98,L98,M98,N98)</f>
        <v>"	notacredito":["	notacredito"," REAL"],</v>
      </c>
    </row>
    <row r="99" spans="1:15" x14ac:dyDescent="0.25">
      <c r="A99" t="s">
        <v>98</v>
      </c>
      <c r="B99" t="s">
        <v>206</v>
      </c>
      <c r="C99" t="s">
        <v>98</v>
      </c>
      <c r="D99" t="s">
        <v>99</v>
      </c>
      <c r="E99" t="s">
        <v>260</v>
      </c>
      <c r="F99" t="s">
        <v>98</v>
      </c>
      <c r="G99" t="s">
        <v>206</v>
      </c>
      <c r="H99" t="s">
        <v>98</v>
      </c>
      <c r="I99" t="s">
        <v>100</v>
      </c>
      <c r="J99" t="s">
        <v>98</v>
      </c>
      <c r="K99" t="s">
        <v>104</v>
      </c>
      <c r="L99" t="s">
        <v>98</v>
      </c>
      <c r="M99" t="s">
        <v>261</v>
      </c>
      <c r="N99" t="s">
        <v>100</v>
      </c>
      <c r="O99" t="str">
        <f>CONCATENATE(A99,B99,C99,D99,E99,F99,G99,H99,I99,J99,K99,L99,M99,N99)</f>
        <v>"	notacredito1":["	notacredito1"," TEXT"],</v>
      </c>
    </row>
    <row r="100" spans="1:15" x14ac:dyDescent="0.25">
      <c r="A100" t="s">
        <v>98</v>
      </c>
      <c r="B100" t="s">
        <v>207</v>
      </c>
      <c r="C100" t="s">
        <v>98</v>
      </c>
      <c r="D100" t="s">
        <v>99</v>
      </c>
      <c r="E100" t="s">
        <v>260</v>
      </c>
      <c r="F100" t="s">
        <v>98</v>
      </c>
      <c r="G100" t="s">
        <v>207</v>
      </c>
      <c r="H100" t="s">
        <v>98</v>
      </c>
      <c r="I100" t="s">
        <v>100</v>
      </c>
      <c r="J100" t="s">
        <v>98</v>
      </c>
      <c r="K100" t="s">
        <v>105</v>
      </c>
      <c r="L100" t="s">
        <v>98</v>
      </c>
      <c r="M100" t="s">
        <v>261</v>
      </c>
      <c r="N100" t="s">
        <v>100</v>
      </c>
      <c r="O100" t="str">
        <f>CONCATENATE(A100,B100,C100,D100,E100,F100,G100,H100,I100,J100,K100,L100,M100,N100)</f>
        <v>"	nivelPrecio":["	nivelPrecio"," INTEGER"],</v>
      </c>
    </row>
    <row r="101" spans="1:15" x14ac:dyDescent="0.25">
      <c r="A101" t="s">
        <v>98</v>
      </c>
      <c r="B101" t="s">
        <v>208</v>
      </c>
      <c r="C101" t="s">
        <v>98</v>
      </c>
      <c r="D101" t="s">
        <v>99</v>
      </c>
      <c r="E101" t="s">
        <v>260</v>
      </c>
      <c r="F101" t="s">
        <v>98</v>
      </c>
      <c r="G101" t="s">
        <v>208</v>
      </c>
      <c r="H101" t="s">
        <v>98</v>
      </c>
      <c r="I101" t="s">
        <v>100</v>
      </c>
      <c r="J101" t="s">
        <v>98</v>
      </c>
      <c r="K101" t="s">
        <v>104</v>
      </c>
      <c r="L101" t="s">
        <v>98</v>
      </c>
      <c r="M101" t="s">
        <v>261</v>
      </c>
      <c r="N101" t="s">
        <v>100</v>
      </c>
      <c r="O101" t="str">
        <f>CONCATENATE(A101,B101,C101,D101,E101,F101,G101,H101,I101,J101,K101,L101,M101,N101)</f>
        <v>"	itbisencosto":["	itbisencosto"," TEXT"],</v>
      </c>
    </row>
    <row r="102" spans="1:15" x14ac:dyDescent="0.25">
      <c r="A102" t="s">
        <v>98</v>
      </c>
      <c r="B102" t="s">
        <v>209</v>
      </c>
      <c r="C102" t="s">
        <v>98</v>
      </c>
      <c r="D102" t="s">
        <v>99</v>
      </c>
      <c r="E102" t="s">
        <v>260</v>
      </c>
      <c r="F102" t="s">
        <v>98</v>
      </c>
      <c r="G102" t="s">
        <v>209</v>
      </c>
      <c r="H102" t="s">
        <v>98</v>
      </c>
      <c r="I102" t="s">
        <v>100</v>
      </c>
      <c r="J102" t="s">
        <v>98</v>
      </c>
      <c r="K102" t="s">
        <v>105</v>
      </c>
      <c r="L102" t="s">
        <v>98</v>
      </c>
      <c r="M102" t="s">
        <v>261</v>
      </c>
      <c r="N102" t="s">
        <v>100</v>
      </c>
      <c r="O102" t="str">
        <f>CONCATENATE(A102,B102,C102,D102,E102,F102,G102,H102,I102,J102,K102,L102,M102,N102)</f>
        <v>"	reimpresion":["	reimpresion"," INTEGER"],</v>
      </c>
    </row>
    <row r="103" spans="1:15" x14ac:dyDescent="0.25">
      <c r="A103" t="s">
        <v>98</v>
      </c>
      <c r="B103" t="s">
        <v>210</v>
      </c>
      <c r="C103" t="s">
        <v>98</v>
      </c>
      <c r="D103" t="s">
        <v>99</v>
      </c>
      <c r="E103" t="s">
        <v>260</v>
      </c>
      <c r="F103" t="s">
        <v>98</v>
      </c>
      <c r="G103" t="s">
        <v>210</v>
      </c>
      <c r="H103" t="s">
        <v>98</v>
      </c>
      <c r="I103" t="s">
        <v>100</v>
      </c>
      <c r="J103" t="s">
        <v>98</v>
      </c>
      <c r="K103" t="s">
        <v>104</v>
      </c>
      <c r="L103" t="s">
        <v>98</v>
      </c>
      <c r="M103" t="s">
        <v>261</v>
      </c>
      <c r="N103" t="s">
        <v>100</v>
      </c>
      <c r="O103" t="str">
        <f>CONCATENATE(A103,B103,C103,D103,E103,F103,G103,H103,I103,J103,K103,L103,M103,N103)</f>
        <v>"	factTmp":["	factTmp"," TEXT"],</v>
      </c>
    </row>
    <row r="104" spans="1:15" x14ac:dyDescent="0.25">
      <c r="A104" t="s">
        <v>98</v>
      </c>
      <c r="B104" t="s">
        <v>211</v>
      </c>
      <c r="C104" t="s">
        <v>98</v>
      </c>
      <c r="D104" t="s">
        <v>99</v>
      </c>
      <c r="E104" t="s">
        <v>260</v>
      </c>
      <c r="F104" t="s">
        <v>98</v>
      </c>
      <c r="G104" t="s">
        <v>211</v>
      </c>
      <c r="H104" t="s">
        <v>98</v>
      </c>
      <c r="I104" t="s">
        <v>100</v>
      </c>
      <c r="J104" t="s">
        <v>98</v>
      </c>
      <c r="K104" t="s">
        <v>104</v>
      </c>
      <c r="L104" t="s">
        <v>98</v>
      </c>
      <c r="M104" t="s">
        <v>261</v>
      </c>
      <c r="N104" t="s">
        <v>100</v>
      </c>
      <c r="O104" t="str">
        <f>CONCATENATE(A104,B104,C104,D104,E104,F104,G104,H104,I104,J104,K104,L104,M104,N104)</f>
        <v>"	antDocumento":["	antDocumento"," TEXT"],</v>
      </c>
    </row>
    <row r="105" spans="1:15" x14ac:dyDescent="0.25">
      <c r="A105" t="s">
        <v>98</v>
      </c>
      <c r="B105" t="s">
        <v>212</v>
      </c>
      <c r="C105" t="s">
        <v>98</v>
      </c>
      <c r="D105" t="s">
        <v>99</v>
      </c>
      <c r="E105" t="s">
        <v>260</v>
      </c>
      <c r="F105" t="s">
        <v>98</v>
      </c>
      <c r="G105" t="s">
        <v>212</v>
      </c>
      <c r="H105" t="s">
        <v>98</v>
      </c>
      <c r="I105" t="s">
        <v>100</v>
      </c>
      <c r="J105" t="s">
        <v>98</v>
      </c>
      <c r="K105" t="s">
        <v>107</v>
      </c>
      <c r="L105" t="s">
        <v>98</v>
      </c>
      <c r="M105" t="s">
        <v>261</v>
      </c>
      <c r="N105" t="s">
        <v>100</v>
      </c>
      <c r="O105" t="str">
        <f>CONCATENATE(A105,B105,C105,D105,E105,F105,G105,H105,I105,J105,K105,L105,M105,N105)</f>
        <v>"	Arancel":["	Arancel"," REAL"],</v>
      </c>
    </row>
    <row r="106" spans="1:15" x14ac:dyDescent="0.25">
      <c r="A106" t="s">
        <v>98</v>
      </c>
      <c r="B106" t="s">
        <v>213</v>
      </c>
      <c r="C106" t="s">
        <v>98</v>
      </c>
      <c r="D106" t="s">
        <v>99</v>
      </c>
      <c r="E106" t="s">
        <v>260</v>
      </c>
      <c r="F106" t="s">
        <v>98</v>
      </c>
      <c r="G106" t="s">
        <v>213</v>
      </c>
      <c r="H106" t="s">
        <v>98</v>
      </c>
      <c r="I106" t="s">
        <v>100</v>
      </c>
      <c r="J106" t="s">
        <v>98</v>
      </c>
      <c r="K106" t="s">
        <v>107</v>
      </c>
      <c r="L106" t="s">
        <v>98</v>
      </c>
      <c r="M106" t="s">
        <v>261</v>
      </c>
      <c r="N106" t="s">
        <v>100</v>
      </c>
      <c r="O106" t="str">
        <f>CONCATENATE(A106,B106,C106,D106,E106,F106,G106,H106,I106,J106,K106,L106,M106,N106)</f>
        <v>"	gasto1":["	gasto1"," REAL"],</v>
      </c>
    </row>
    <row r="107" spans="1:15" x14ac:dyDescent="0.25">
      <c r="A107" t="s">
        <v>98</v>
      </c>
      <c r="B107" t="s">
        <v>214</v>
      </c>
      <c r="C107" t="s">
        <v>98</v>
      </c>
      <c r="D107" t="s">
        <v>99</v>
      </c>
      <c r="E107" t="s">
        <v>260</v>
      </c>
      <c r="F107" t="s">
        <v>98</v>
      </c>
      <c r="G107" t="s">
        <v>214</v>
      </c>
      <c r="H107" t="s">
        <v>98</v>
      </c>
      <c r="I107" t="s">
        <v>100</v>
      </c>
      <c r="J107" t="s">
        <v>98</v>
      </c>
      <c r="K107" t="s">
        <v>104</v>
      </c>
      <c r="L107" t="s">
        <v>98</v>
      </c>
      <c r="M107" t="s">
        <v>261</v>
      </c>
      <c r="N107" t="s">
        <v>100</v>
      </c>
      <c r="O107" t="str">
        <f>CONCATENATE(A107,B107,C107,D107,E107,F107,G107,H107,I107,J107,K107,L107,M107,N107)</f>
        <v>"	autorizado":["	autorizado"," TEXT"],</v>
      </c>
    </row>
    <row r="108" spans="1:15" x14ac:dyDescent="0.25">
      <c r="A108" t="s">
        <v>98</v>
      </c>
      <c r="B108" t="s">
        <v>215</v>
      </c>
      <c r="C108" t="s">
        <v>98</v>
      </c>
      <c r="D108" t="s">
        <v>99</v>
      </c>
      <c r="E108" t="s">
        <v>260</v>
      </c>
      <c r="F108" t="s">
        <v>98</v>
      </c>
      <c r="G108" t="s">
        <v>215</v>
      </c>
      <c r="H108" t="s">
        <v>98</v>
      </c>
      <c r="I108" t="s">
        <v>100</v>
      </c>
      <c r="J108" t="s">
        <v>98</v>
      </c>
      <c r="K108" t="s">
        <v>107</v>
      </c>
      <c r="L108" t="s">
        <v>98</v>
      </c>
      <c r="M108" t="s">
        <v>261</v>
      </c>
      <c r="N108" t="s">
        <v>100</v>
      </c>
      <c r="O108" t="str">
        <f>CONCATENATE(A108,B108,C108,D108,E108,F108,G108,H108,I108,J108,K108,L108,M108,N108)</f>
        <v>"	propina":["	propina"," REAL"],</v>
      </c>
    </row>
    <row r="109" spans="1:15" x14ac:dyDescent="0.25">
      <c r="A109" t="s">
        <v>98</v>
      </c>
      <c r="B109" t="s">
        <v>216</v>
      </c>
      <c r="C109" t="s">
        <v>98</v>
      </c>
      <c r="D109" t="s">
        <v>99</v>
      </c>
      <c r="E109" t="s">
        <v>260</v>
      </c>
      <c r="F109" t="s">
        <v>98</v>
      </c>
      <c r="G109" t="s">
        <v>216</v>
      </c>
      <c r="H109" t="s">
        <v>98</v>
      </c>
      <c r="I109" t="s">
        <v>100</v>
      </c>
      <c r="J109" t="s">
        <v>98</v>
      </c>
      <c r="K109" t="s">
        <v>104</v>
      </c>
      <c r="L109" t="s">
        <v>98</v>
      </c>
      <c r="M109" t="s">
        <v>261</v>
      </c>
      <c r="N109" t="s">
        <v>100</v>
      </c>
      <c r="O109" t="str">
        <f>CONCATENATE(A109,B109,C109,D109,E109,F109,G109,H109,I109,J109,K109,L109,M109,N109)</f>
        <v>"	observa3":["	observa3"," TEXT"],</v>
      </c>
    </row>
    <row r="110" spans="1:15" x14ac:dyDescent="0.25">
      <c r="A110" t="s">
        <v>98</v>
      </c>
      <c r="B110" t="s">
        <v>217</v>
      </c>
      <c r="C110" t="s">
        <v>98</v>
      </c>
      <c r="D110" t="s">
        <v>99</v>
      </c>
      <c r="E110" t="s">
        <v>260</v>
      </c>
      <c r="F110" t="s">
        <v>98</v>
      </c>
      <c r="G110" t="s">
        <v>217</v>
      </c>
      <c r="H110" t="s">
        <v>98</v>
      </c>
      <c r="I110" t="s">
        <v>100</v>
      </c>
      <c r="J110" t="s">
        <v>98</v>
      </c>
      <c r="K110" t="s">
        <v>104</v>
      </c>
      <c r="L110" t="s">
        <v>98</v>
      </c>
      <c r="M110" t="s">
        <v>261</v>
      </c>
      <c r="N110" t="s">
        <v>100</v>
      </c>
      <c r="O110" t="str">
        <f>CONCATENATE(A110,B110,C110,D110,E110,F110,G110,H110,I110,J110,K110,L110,M110,N110)</f>
        <v>"	SecSQL":["	SecSQL"," TEXT"],</v>
      </c>
    </row>
    <row r="111" spans="1:15" x14ac:dyDescent="0.25">
      <c r="A111" t="s">
        <v>98</v>
      </c>
      <c r="B111" t="s">
        <v>218</v>
      </c>
      <c r="C111" t="s">
        <v>98</v>
      </c>
      <c r="D111" t="s">
        <v>99</v>
      </c>
      <c r="E111" t="s">
        <v>260</v>
      </c>
      <c r="F111" t="s">
        <v>98</v>
      </c>
      <c r="G111" t="s">
        <v>218</v>
      </c>
      <c r="H111" t="s">
        <v>98</v>
      </c>
      <c r="I111" t="s">
        <v>100</v>
      </c>
      <c r="J111" t="s">
        <v>98</v>
      </c>
      <c r="K111" t="s">
        <v>104</v>
      </c>
      <c r="L111" t="s">
        <v>98</v>
      </c>
      <c r="M111" t="s">
        <v>261</v>
      </c>
      <c r="N111" t="s">
        <v>100</v>
      </c>
      <c r="O111" t="str">
        <f>CONCATENATE(A111,B111,C111,D111,E111,F111,G111,H111,I111,J111,K111,L111,M111,N111)</f>
        <v>"	codigoseguridad":["	codigoseguridad"," TEXT"],</v>
      </c>
    </row>
    <row r="112" spans="1:15" x14ac:dyDescent="0.25">
      <c r="A112" t="s">
        <v>98</v>
      </c>
      <c r="B112" t="s">
        <v>219</v>
      </c>
      <c r="C112" t="s">
        <v>98</v>
      </c>
      <c r="D112" t="s">
        <v>99</v>
      </c>
      <c r="E112" t="s">
        <v>260</v>
      </c>
      <c r="F112" t="s">
        <v>98</v>
      </c>
      <c r="G112" t="s">
        <v>219</v>
      </c>
      <c r="H112" t="s">
        <v>98</v>
      </c>
      <c r="I112" t="s">
        <v>100</v>
      </c>
      <c r="J112" t="s">
        <v>98</v>
      </c>
      <c r="K112" t="s">
        <v>104</v>
      </c>
      <c r="L112" t="s">
        <v>98</v>
      </c>
      <c r="M112" t="s">
        <v>261</v>
      </c>
      <c r="N112" t="s">
        <v>100</v>
      </c>
      <c r="O112" t="str">
        <f>CONCATENATE(A112,B112,C112,D112,E112,F112,G112,H112,I112,J112,K112,L112,M112,N112)</f>
        <v>"	fechafirma":["	fechafirma"," TEXT"],</v>
      </c>
    </row>
    <row r="113" spans="1:15" x14ac:dyDescent="0.25">
      <c r="A113" t="s">
        <v>98</v>
      </c>
      <c r="B113" t="s">
        <v>220</v>
      </c>
      <c r="C113" t="s">
        <v>98</v>
      </c>
      <c r="D113" t="s">
        <v>99</v>
      </c>
      <c r="E113" t="s">
        <v>260</v>
      </c>
      <c r="F113" t="s">
        <v>98</v>
      </c>
      <c r="G113" t="s">
        <v>220</v>
      </c>
      <c r="H113" t="s">
        <v>98</v>
      </c>
      <c r="I113" t="s">
        <v>100</v>
      </c>
      <c r="J113" t="s">
        <v>98</v>
      </c>
      <c r="K113" t="s">
        <v>104</v>
      </c>
      <c r="L113" t="s">
        <v>98</v>
      </c>
      <c r="M113" t="s">
        <v>261</v>
      </c>
      <c r="N113" t="s">
        <v>100</v>
      </c>
      <c r="O113" t="str">
        <f>CONCATENATE(A113,B113,C113,D113,E113,F113,G113,H113,I113,J113,K113,L113,M113,N113)</f>
        <v>"	ULRQR":["	ULRQR"," TEXT"],</v>
      </c>
    </row>
    <row r="114" spans="1:15" x14ac:dyDescent="0.25">
      <c r="A114" t="s">
        <v>98</v>
      </c>
      <c r="B114" t="s">
        <v>221</v>
      </c>
      <c r="C114" t="s">
        <v>98</v>
      </c>
      <c r="D114" t="s">
        <v>99</v>
      </c>
      <c r="E114" t="s">
        <v>260</v>
      </c>
      <c r="F114" t="s">
        <v>98</v>
      </c>
      <c r="G114" t="s">
        <v>221</v>
      </c>
      <c r="H114" t="s">
        <v>98</v>
      </c>
      <c r="I114" t="s">
        <v>100</v>
      </c>
      <c r="J114" t="s">
        <v>98</v>
      </c>
      <c r="K114" t="s">
        <v>104</v>
      </c>
      <c r="L114" t="s">
        <v>98</v>
      </c>
      <c r="M114" t="s">
        <v>261</v>
      </c>
      <c r="N114" t="s">
        <v>100</v>
      </c>
      <c r="O114" t="str">
        <f>CONCATENATE(A114,B114,C114,D114,E114,F114,G114,H114,I114,J114,K114,L114,M114,N114)</f>
        <v>"	trackid":["	trackid"," TEXT"],</v>
      </c>
    </row>
    <row r="115" spans="1:15" x14ac:dyDescent="0.25">
      <c r="A115" t="s">
        <v>98</v>
      </c>
      <c r="B115" t="s">
        <v>222</v>
      </c>
      <c r="C115" t="s">
        <v>98</v>
      </c>
      <c r="D115" t="s">
        <v>99</v>
      </c>
      <c r="E115" t="s">
        <v>260</v>
      </c>
      <c r="F115" t="s">
        <v>98</v>
      </c>
      <c r="G115" t="s">
        <v>222</v>
      </c>
      <c r="H115" t="s">
        <v>98</v>
      </c>
      <c r="I115" t="s">
        <v>100</v>
      </c>
      <c r="J115" t="s">
        <v>98</v>
      </c>
      <c r="K115" t="s">
        <v>104</v>
      </c>
      <c r="L115" t="s">
        <v>98</v>
      </c>
      <c r="M115" t="s">
        <v>261</v>
      </c>
      <c r="N115" t="s">
        <v>100</v>
      </c>
      <c r="O115" t="str">
        <f>CONCATENATE(A115,B115,C115,D115,E115,F115,G115,H115,I115,J115,K115,L115,M115,N115)</f>
        <v>"	estadoNCF":["	estadoNCF"," TEXT"],</v>
      </c>
    </row>
    <row r="116" spans="1:15" x14ac:dyDescent="0.25">
      <c r="A116" t="s">
        <v>98</v>
      </c>
      <c r="B116" t="s">
        <v>223</v>
      </c>
      <c r="C116" t="s">
        <v>98</v>
      </c>
      <c r="D116" t="s">
        <v>99</v>
      </c>
      <c r="E116" t="s">
        <v>260</v>
      </c>
      <c r="F116" t="s">
        <v>98</v>
      </c>
      <c r="G116" t="s">
        <v>223</v>
      </c>
      <c r="H116" t="s">
        <v>98</v>
      </c>
      <c r="I116" t="s">
        <v>100</v>
      </c>
      <c r="J116" t="s">
        <v>98</v>
      </c>
      <c r="K116" t="s">
        <v>106</v>
      </c>
      <c r="L116" t="s">
        <v>98</v>
      </c>
      <c r="M116" t="s">
        <v>261</v>
      </c>
      <c r="N116" t="s">
        <v>100</v>
      </c>
      <c r="O116" t="str">
        <f>CONCATENATE(A116,B116,C116,D116,E116,F116,G116,H116,I116,J116,K116,L116,M116,N116)</f>
        <v>"	finsertado":["	finsertado"," DATETIME"],</v>
      </c>
    </row>
    <row r="117" spans="1:15" x14ac:dyDescent="0.25">
      <c r="A117" t="s">
        <v>98</v>
      </c>
      <c r="B117" t="s">
        <v>224</v>
      </c>
      <c r="C117" t="s">
        <v>98</v>
      </c>
      <c r="D117" t="s">
        <v>99</v>
      </c>
      <c r="E117" t="s">
        <v>260</v>
      </c>
      <c r="F117" t="s">
        <v>98</v>
      </c>
      <c r="G117" t="s">
        <v>224</v>
      </c>
      <c r="H117" t="s">
        <v>98</v>
      </c>
      <c r="I117" t="s">
        <v>100</v>
      </c>
      <c r="J117" t="s">
        <v>98</v>
      </c>
      <c r="K117" t="s">
        <v>104</v>
      </c>
      <c r="L117" t="s">
        <v>98</v>
      </c>
      <c r="M117" t="s">
        <v>261</v>
      </c>
      <c r="N117" t="s">
        <v>100</v>
      </c>
      <c r="O117" t="str">
        <f>CONCATENATE(A117,B117,C117,D117,E117,F117,G117,H117,I117,J117,K117,L117,M117,N117)</f>
        <v>"	zonaname":["	zonaname"," TEXT"],</v>
      </c>
    </row>
    <row r="118" spans="1:15" x14ac:dyDescent="0.25">
      <c r="A118" t="s">
        <v>98</v>
      </c>
      <c r="B118" t="s">
        <v>225</v>
      </c>
      <c r="C118" t="s">
        <v>98</v>
      </c>
      <c r="D118" t="s">
        <v>99</v>
      </c>
      <c r="E118" t="s">
        <v>260</v>
      </c>
      <c r="F118" t="s">
        <v>98</v>
      </c>
      <c r="G118" t="s">
        <v>225</v>
      </c>
      <c r="H118" t="s">
        <v>98</v>
      </c>
      <c r="I118" t="s">
        <v>100</v>
      </c>
      <c r="J118" t="s">
        <v>98</v>
      </c>
      <c r="K118" t="s">
        <v>104</v>
      </c>
      <c r="L118" t="s">
        <v>98</v>
      </c>
      <c r="M118" t="s">
        <v>261</v>
      </c>
      <c r="N118" t="s">
        <v>100</v>
      </c>
      <c r="O118" t="str">
        <f>CONCATENATE(A118,B118,C118,D118,E118,F118,G118,H118,I118,J118,K118,L118,M118,N118)</f>
        <v>"	comprobante":["	comprobante"," TEXT"],</v>
      </c>
    </row>
    <row r="119" spans="1:15" x14ac:dyDescent="0.25">
      <c r="A119" t="s">
        <v>98</v>
      </c>
      <c r="B119" t="s">
        <v>226</v>
      </c>
      <c r="C119" t="s">
        <v>98</v>
      </c>
      <c r="D119" t="s">
        <v>99</v>
      </c>
      <c r="E119" t="s">
        <v>260</v>
      </c>
      <c r="F119" t="s">
        <v>98</v>
      </c>
      <c r="G119" t="s">
        <v>226</v>
      </c>
      <c r="H119" t="s">
        <v>98</v>
      </c>
      <c r="I119" t="s">
        <v>100</v>
      </c>
      <c r="J119" t="s">
        <v>98</v>
      </c>
      <c r="K119" t="s">
        <v>104</v>
      </c>
      <c r="L119" t="s">
        <v>98</v>
      </c>
      <c r="M119" t="s">
        <v>261</v>
      </c>
      <c r="N119" t="s">
        <v>100</v>
      </c>
      <c r="O119" t="str">
        <f>CONCATENATE(A119,B119,C119,D119,E119,F119,G119,H119,I119,J119,K119,L119,M119,N119)</f>
        <v>"	comprobante1":["	comprobante1"," TEXT"],</v>
      </c>
    </row>
    <row r="120" spans="1:15" x14ac:dyDescent="0.25">
      <c r="A120" t="s">
        <v>98</v>
      </c>
      <c r="B120" t="s">
        <v>227</v>
      </c>
      <c r="C120" t="s">
        <v>98</v>
      </c>
      <c r="D120" t="s">
        <v>99</v>
      </c>
      <c r="E120" t="s">
        <v>260</v>
      </c>
      <c r="F120" t="s">
        <v>98</v>
      </c>
      <c r="G120" t="s">
        <v>227</v>
      </c>
      <c r="H120" t="s">
        <v>98</v>
      </c>
      <c r="I120" t="s">
        <v>100</v>
      </c>
      <c r="J120" t="s">
        <v>98</v>
      </c>
      <c r="K120" t="s">
        <v>106</v>
      </c>
      <c r="L120" t="s">
        <v>98</v>
      </c>
      <c r="M120" t="s">
        <v>261</v>
      </c>
      <c r="N120" t="s">
        <v>100</v>
      </c>
      <c r="O120" t="str">
        <f>CONCATENATE(A120,B120,C120,D120,E120,F120,G120,H120,I120,J120,K120,L120,M120,N120)</f>
        <v>"	datecontrol":["	datecontrol"," DATETIME"],</v>
      </c>
    </row>
    <row r="121" spans="1:15" x14ac:dyDescent="0.25">
      <c r="A121" t="s">
        <v>98</v>
      </c>
      <c r="B121" t="s">
        <v>228</v>
      </c>
      <c r="C121" t="s">
        <v>98</v>
      </c>
      <c r="D121" t="s">
        <v>99</v>
      </c>
      <c r="E121" t="s">
        <v>260</v>
      </c>
      <c r="F121" t="s">
        <v>98</v>
      </c>
      <c r="G121" t="s">
        <v>228</v>
      </c>
      <c r="H121" t="s">
        <v>98</v>
      </c>
      <c r="I121" t="s">
        <v>100</v>
      </c>
      <c r="J121" t="s">
        <v>98</v>
      </c>
      <c r="K121" t="s">
        <v>104</v>
      </c>
      <c r="L121" t="s">
        <v>98</v>
      </c>
      <c r="M121" t="s">
        <v>261</v>
      </c>
      <c r="N121" t="s">
        <v>100</v>
      </c>
      <c r="O121" t="str">
        <f>CONCATENATE(A121,B121,C121,D121,E121,F121,G121,H121,I121,J121,K121,L121,M121,N121)</f>
        <v>"	rnc":["	rnc"," TEXT"],</v>
      </c>
    </row>
    <row r="122" spans="1:15" x14ac:dyDescent="0.25">
      <c r="A122" t="s">
        <v>98</v>
      </c>
      <c r="B122" t="s">
        <v>229</v>
      </c>
      <c r="C122" t="s">
        <v>98</v>
      </c>
      <c r="D122" t="s">
        <v>99</v>
      </c>
      <c r="E122" t="s">
        <v>260</v>
      </c>
      <c r="F122" t="s">
        <v>98</v>
      </c>
      <c r="G122" t="s">
        <v>229</v>
      </c>
      <c r="H122" t="s">
        <v>98</v>
      </c>
      <c r="I122" t="s">
        <v>100</v>
      </c>
      <c r="J122" t="s">
        <v>98</v>
      </c>
      <c r="K122" t="s">
        <v>104</v>
      </c>
      <c r="L122" t="s">
        <v>98</v>
      </c>
      <c r="M122" t="s">
        <v>261</v>
      </c>
      <c r="N122" t="s">
        <v>100</v>
      </c>
      <c r="O122" t="str">
        <f>CONCATENATE(A122,B122,C122,D122,E122,F122,G122,H122,I122,J122,K122,L122,M122,N122)</f>
        <v>"	autoriza":["	autoriza"," TEXT"],</v>
      </c>
    </row>
    <row r="123" spans="1:15" x14ac:dyDescent="0.25">
      <c r="A123" t="s">
        <v>98</v>
      </c>
      <c r="B123" t="s">
        <v>230</v>
      </c>
      <c r="C123" t="s">
        <v>98</v>
      </c>
      <c r="D123" t="s">
        <v>99</v>
      </c>
      <c r="E123" t="s">
        <v>260</v>
      </c>
      <c r="F123" t="s">
        <v>98</v>
      </c>
      <c r="G123" t="s">
        <v>230</v>
      </c>
      <c r="H123" t="s">
        <v>98</v>
      </c>
      <c r="I123" t="s">
        <v>100</v>
      </c>
      <c r="J123" t="s">
        <v>98</v>
      </c>
      <c r="K123" t="s">
        <v>107</v>
      </c>
      <c r="L123" t="s">
        <v>98</v>
      </c>
      <c r="M123" t="s">
        <v>261</v>
      </c>
      <c r="N123" t="s">
        <v>100</v>
      </c>
      <c r="O123" t="str">
        <f>CONCATENATE(A123,B123,C123,D123,E123,F123,G123,H123,I123,J123,K123,L123,M123,N123)</f>
        <v>"	montoautoriza":["	montoautoriza"," REAL"],</v>
      </c>
    </row>
    <row r="124" spans="1:15" x14ac:dyDescent="0.25">
      <c r="A124" t="s">
        <v>98</v>
      </c>
      <c r="B124" t="s">
        <v>231</v>
      </c>
      <c r="C124" t="s">
        <v>98</v>
      </c>
      <c r="D124" t="s">
        <v>99</v>
      </c>
      <c r="E124" t="s">
        <v>260</v>
      </c>
      <c r="F124" t="s">
        <v>98</v>
      </c>
      <c r="G124" t="s">
        <v>231</v>
      </c>
      <c r="H124" t="s">
        <v>98</v>
      </c>
      <c r="I124" t="s">
        <v>100</v>
      </c>
      <c r="J124" t="s">
        <v>98</v>
      </c>
      <c r="K124" t="s">
        <v>104</v>
      </c>
      <c r="L124" t="s">
        <v>98</v>
      </c>
      <c r="M124" t="s">
        <v>261</v>
      </c>
      <c r="N124" t="s">
        <v>100</v>
      </c>
      <c r="O124" t="str">
        <f>CONCATENATE(A124,B124,C124,D124,E124,F124,G124,H124,I124,J124,K124,L124,M124,N124)</f>
        <v>"	abierto1":["	abierto1"," TEXT"],</v>
      </c>
    </row>
    <row r="125" spans="1:15" x14ac:dyDescent="0.25">
      <c r="A125" t="s">
        <v>98</v>
      </c>
      <c r="B125" t="s">
        <v>232</v>
      </c>
      <c r="C125" t="s">
        <v>98</v>
      </c>
      <c r="D125" t="s">
        <v>99</v>
      </c>
      <c r="E125" t="s">
        <v>260</v>
      </c>
      <c r="F125" t="s">
        <v>98</v>
      </c>
      <c r="G125" t="s">
        <v>232</v>
      </c>
      <c r="H125" t="s">
        <v>98</v>
      </c>
      <c r="I125" t="s">
        <v>100</v>
      </c>
      <c r="J125" t="s">
        <v>98</v>
      </c>
      <c r="K125" t="s">
        <v>104</v>
      </c>
      <c r="L125" t="s">
        <v>98</v>
      </c>
      <c r="M125" t="s">
        <v>261</v>
      </c>
      <c r="N125" t="s">
        <v>100</v>
      </c>
      <c r="O125" t="str">
        <f>CONCATENATE(A125,B125,C125,D125,E125,F125,G125,H125,I125,J125,K125,L125,M125,N125)</f>
        <v>"	observamodi":["	observamodi"," TEXT"],</v>
      </c>
    </row>
    <row r="126" spans="1:15" x14ac:dyDescent="0.25">
      <c r="A126" t="s">
        <v>98</v>
      </c>
      <c r="B126" t="s">
        <v>233</v>
      </c>
      <c r="C126" t="s">
        <v>98</v>
      </c>
      <c r="D126" t="s">
        <v>99</v>
      </c>
      <c r="E126" t="s">
        <v>260</v>
      </c>
      <c r="F126" t="s">
        <v>98</v>
      </c>
      <c r="G126" t="s">
        <v>233</v>
      </c>
      <c r="H126" t="s">
        <v>98</v>
      </c>
      <c r="I126" t="s">
        <v>100</v>
      </c>
      <c r="J126" t="s">
        <v>98</v>
      </c>
      <c r="K126" t="s">
        <v>104</v>
      </c>
      <c r="L126" t="s">
        <v>98</v>
      </c>
      <c r="M126" t="s">
        <v>261</v>
      </c>
      <c r="N126" t="s">
        <v>100</v>
      </c>
      <c r="O126" t="str">
        <f>CONCATENATE(A126,B126,C126,D126,E126,F126,G126,H126,I126,J126,K126,L126,M126,N126)</f>
        <v>"	autorizamodi":["	autorizamodi"," TEXT"],</v>
      </c>
    </row>
    <row r="127" spans="1:15" x14ac:dyDescent="0.25">
      <c r="A127" t="s">
        <v>98</v>
      </c>
      <c r="B127" t="s">
        <v>234</v>
      </c>
      <c r="C127" t="s">
        <v>98</v>
      </c>
      <c r="D127" t="s">
        <v>99</v>
      </c>
      <c r="E127" t="s">
        <v>260</v>
      </c>
      <c r="F127" t="s">
        <v>98</v>
      </c>
      <c r="G127" t="s">
        <v>234</v>
      </c>
      <c r="H127" t="s">
        <v>98</v>
      </c>
      <c r="I127" t="s">
        <v>100</v>
      </c>
      <c r="J127" t="s">
        <v>98</v>
      </c>
      <c r="K127" t="s">
        <v>104</v>
      </c>
      <c r="L127" t="s">
        <v>98</v>
      </c>
      <c r="M127" t="s">
        <v>261</v>
      </c>
      <c r="N127" t="s">
        <v>100</v>
      </c>
      <c r="O127" t="str">
        <f>CONCATENATE(A127,B127,C127,D127,E127,F127,G127,H127,I127,J127,K127,L127,M127,N127)</f>
        <v>"	modificado1":["	modificado1"," TEXT"],</v>
      </c>
    </row>
    <row r="128" spans="1:15" x14ac:dyDescent="0.25">
      <c r="A128" t="s">
        <v>98</v>
      </c>
      <c r="B128" t="s">
        <v>235</v>
      </c>
      <c r="C128" t="s">
        <v>98</v>
      </c>
      <c r="D128" t="s">
        <v>99</v>
      </c>
      <c r="E128" t="s">
        <v>260</v>
      </c>
      <c r="F128" t="s">
        <v>98</v>
      </c>
      <c r="G128" t="s">
        <v>235</v>
      </c>
      <c r="H128" t="s">
        <v>98</v>
      </c>
      <c r="I128" t="s">
        <v>100</v>
      </c>
      <c r="J128" t="s">
        <v>98</v>
      </c>
      <c r="K128" t="s">
        <v>106</v>
      </c>
      <c r="L128" t="s">
        <v>98</v>
      </c>
      <c r="M128" t="s">
        <v>261</v>
      </c>
      <c r="N128" t="s">
        <v>100</v>
      </c>
      <c r="O128" t="str">
        <f>CONCATENATE(A128,B128,C128,D128,E128,F128,G128,H128,I128,J128,K128,L128,M128,N128)</f>
        <v>"	fechacreado":["	fechacreado"," DATETIME"],</v>
      </c>
    </row>
    <row r="129" spans="1:15" x14ac:dyDescent="0.25">
      <c r="A129" t="s">
        <v>98</v>
      </c>
      <c r="B129" t="s">
        <v>236</v>
      </c>
      <c r="C129" t="s">
        <v>98</v>
      </c>
      <c r="D129" t="s">
        <v>99</v>
      </c>
      <c r="E129" t="s">
        <v>260</v>
      </c>
      <c r="F129" t="s">
        <v>98</v>
      </c>
      <c r="G129" t="s">
        <v>236</v>
      </c>
      <c r="H129" t="s">
        <v>98</v>
      </c>
      <c r="I129" t="s">
        <v>100</v>
      </c>
      <c r="J129" t="s">
        <v>98</v>
      </c>
      <c r="K129" t="s">
        <v>106</v>
      </c>
      <c r="L129" t="s">
        <v>98</v>
      </c>
      <c r="M129" t="s">
        <v>261</v>
      </c>
      <c r="N129" t="s">
        <v>100</v>
      </c>
      <c r="O129" t="str">
        <f>CONCATENATE(A129,B129,C129,D129,E129,F129,G129,H129,I129,J129,K129,L129,M129,N129)</f>
        <v>"	fechamodificado":["	fechamodificado"," DATETIME"],</v>
      </c>
    </row>
    <row r="130" spans="1:15" x14ac:dyDescent="0.25">
      <c r="A130" t="s">
        <v>98</v>
      </c>
      <c r="B130" t="s">
        <v>237</v>
      </c>
      <c r="C130" t="s">
        <v>98</v>
      </c>
      <c r="D130" t="s">
        <v>99</v>
      </c>
      <c r="E130" t="s">
        <v>260</v>
      </c>
      <c r="F130" t="s">
        <v>98</v>
      </c>
      <c r="G130" t="s">
        <v>237</v>
      </c>
      <c r="H130" t="s">
        <v>98</v>
      </c>
      <c r="I130" t="s">
        <v>100</v>
      </c>
      <c r="J130" t="s">
        <v>98</v>
      </c>
      <c r="K130" t="s">
        <v>104</v>
      </c>
      <c r="L130" t="s">
        <v>98</v>
      </c>
      <c r="M130" t="s">
        <v>261</v>
      </c>
      <c r="N130" t="s">
        <v>100</v>
      </c>
      <c r="O130" t="str">
        <f>CONCATENATE(A130,B130,C130,D130,E130,F130,G130,H130,I130,J130,K130,L130,M130,N130)</f>
        <v>"	ordenp":["	ordenp"," TEXT"],</v>
      </c>
    </row>
    <row r="131" spans="1:15" x14ac:dyDescent="0.25">
      <c r="A131" t="s">
        <v>98</v>
      </c>
      <c r="B131" t="s">
        <v>238</v>
      </c>
      <c r="C131" t="s">
        <v>98</v>
      </c>
      <c r="D131" t="s">
        <v>99</v>
      </c>
      <c r="E131" t="s">
        <v>260</v>
      </c>
      <c r="F131" t="s">
        <v>98</v>
      </c>
      <c r="G131" t="s">
        <v>238</v>
      </c>
      <c r="H131" t="s">
        <v>98</v>
      </c>
      <c r="I131" t="s">
        <v>100</v>
      </c>
      <c r="J131" t="s">
        <v>98</v>
      </c>
      <c r="K131" t="s">
        <v>104</v>
      </c>
      <c r="L131" t="s">
        <v>98</v>
      </c>
      <c r="M131" t="s">
        <v>261</v>
      </c>
      <c r="N131" t="s">
        <v>100</v>
      </c>
      <c r="O131" t="str">
        <f>CONCATENATE(A131,B131,C131,D131,E131,F131,G131,H131,I131,J131,K131,L131,M131,N131)</f>
        <v>"	nombreliga":["	nombreliga"," TEXT"],</v>
      </c>
    </row>
    <row r="132" spans="1:15" x14ac:dyDescent="0.25">
      <c r="A132" t="s">
        <v>98</v>
      </c>
      <c r="B132" t="s">
        <v>239</v>
      </c>
      <c r="C132" t="s">
        <v>98</v>
      </c>
      <c r="D132" t="s">
        <v>99</v>
      </c>
      <c r="E132" t="s">
        <v>260</v>
      </c>
      <c r="F132" t="s">
        <v>98</v>
      </c>
      <c r="G132" t="s">
        <v>239</v>
      </c>
      <c r="H132" t="s">
        <v>98</v>
      </c>
      <c r="I132" t="s">
        <v>100</v>
      </c>
      <c r="J132" t="s">
        <v>98</v>
      </c>
      <c r="K132" t="s">
        <v>107</v>
      </c>
      <c r="L132" t="s">
        <v>98</v>
      </c>
      <c r="M132" t="s">
        <v>261</v>
      </c>
      <c r="N132" t="s">
        <v>100</v>
      </c>
      <c r="O132" t="str">
        <f>CONCATENATE(A132,B132,C132,D132,E132,F132,G132,H132,I132,J132,K132,L132,M132,N132)</f>
        <v>"	cantidadliga":["	cantidadliga"," REAL"],</v>
      </c>
    </row>
    <row r="133" spans="1:15" x14ac:dyDescent="0.25">
      <c r="A133" t="s">
        <v>98</v>
      </c>
      <c r="B133" t="s">
        <v>240</v>
      </c>
      <c r="C133" t="s">
        <v>98</v>
      </c>
      <c r="D133" t="s">
        <v>99</v>
      </c>
      <c r="E133" t="s">
        <v>260</v>
      </c>
      <c r="F133" t="s">
        <v>98</v>
      </c>
      <c r="G133" t="s">
        <v>240</v>
      </c>
      <c r="H133" t="s">
        <v>98</v>
      </c>
      <c r="I133" t="s">
        <v>100</v>
      </c>
      <c r="J133" t="s">
        <v>98</v>
      </c>
      <c r="K133" t="s">
        <v>107</v>
      </c>
      <c r="L133" t="s">
        <v>98</v>
      </c>
      <c r="M133" t="s">
        <v>261</v>
      </c>
      <c r="N133" t="s">
        <v>100</v>
      </c>
      <c r="O133" t="str">
        <f>CONCATENATE(A133,B133,C133,D133,E133,F133,G133,H133,I133,J133,K133,L133,M133,N133)</f>
        <v>"	montoliq":["	montoliq"," REAL"],</v>
      </c>
    </row>
    <row r="134" spans="1:15" x14ac:dyDescent="0.25">
      <c r="A134" t="s">
        <v>98</v>
      </c>
      <c r="B134" t="s">
        <v>241</v>
      </c>
      <c r="C134" t="s">
        <v>98</v>
      </c>
      <c r="D134" t="s">
        <v>99</v>
      </c>
      <c r="E134" t="s">
        <v>260</v>
      </c>
      <c r="F134" t="s">
        <v>98</v>
      </c>
      <c r="G134" t="s">
        <v>241</v>
      </c>
      <c r="H134" t="s">
        <v>98</v>
      </c>
      <c r="I134" t="s">
        <v>100</v>
      </c>
      <c r="J134" t="s">
        <v>98</v>
      </c>
      <c r="K134" t="s">
        <v>104</v>
      </c>
      <c r="L134" t="s">
        <v>98</v>
      </c>
      <c r="M134" t="s">
        <v>261</v>
      </c>
      <c r="N134" t="s">
        <v>100</v>
      </c>
      <c r="O134" t="str">
        <f>CONCATENATE(A134,B134,C134,D134,E134,F134,G134,H134,I134,J134,K134,L134,M134,N134)</f>
        <v>"	documentoliq":["	documentoliq"," TEXT"],</v>
      </c>
    </row>
    <row r="135" spans="1:15" x14ac:dyDescent="0.25">
      <c r="A135" t="s">
        <v>98</v>
      </c>
      <c r="B135" t="s">
        <v>242</v>
      </c>
      <c r="C135" t="s">
        <v>98</v>
      </c>
      <c r="D135" t="s">
        <v>99</v>
      </c>
      <c r="E135" t="s">
        <v>260</v>
      </c>
      <c r="F135" t="s">
        <v>98</v>
      </c>
      <c r="G135" t="s">
        <v>242</v>
      </c>
      <c r="H135" t="s">
        <v>98</v>
      </c>
      <c r="I135" t="s">
        <v>100</v>
      </c>
      <c r="J135" t="s">
        <v>98</v>
      </c>
      <c r="K135" t="s">
        <v>106</v>
      </c>
      <c r="L135" t="s">
        <v>98</v>
      </c>
      <c r="M135" t="s">
        <v>261</v>
      </c>
      <c r="N135" t="s">
        <v>100</v>
      </c>
      <c r="O135" t="str">
        <f>CONCATENATE(A135,B135,C135,D135,E135,F135,G135,H135,I135,J135,K135,L135,M135,N135)</f>
        <v>"	Salida":["	Salida"," DATETIME"],</v>
      </c>
    </row>
    <row r="136" spans="1:15" x14ac:dyDescent="0.25">
      <c r="A136" t="s">
        <v>98</v>
      </c>
      <c r="B136" t="s">
        <v>243</v>
      </c>
      <c r="C136" t="s">
        <v>98</v>
      </c>
      <c r="D136" t="s">
        <v>99</v>
      </c>
      <c r="E136" t="s">
        <v>260</v>
      </c>
      <c r="F136" t="s">
        <v>98</v>
      </c>
      <c r="G136" t="s">
        <v>243</v>
      </c>
      <c r="H136" t="s">
        <v>98</v>
      </c>
      <c r="I136" t="s">
        <v>100</v>
      </c>
      <c r="J136" t="s">
        <v>98</v>
      </c>
      <c r="K136" t="s">
        <v>104</v>
      </c>
      <c r="L136" t="s">
        <v>98</v>
      </c>
      <c r="M136" t="s">
        <v>261</v>
      </c>
      <c r="N136" t="s">
        <v>100</v>
      </c>
      <c r="O136" t="str">
        <f>CONCATENATE(A136,B136,C136,D136,E136,F136,G136,H136,I136,J136,K136,L136,M136,N136)</f>
        <v>"	movimiento":["	movimiento"," TEXT"],</v>
      </c>
    </row>
    <row r="137" spans="1:15" x14ac:dyDescent="0.25">
      <c r="A137" t="s">
        <v>98</v>
      </c>
      <c r="B137" t="s">
        <v>244</v>
      </c>
      <c r="C137" t="s">
        <v>98</v>
      </c>
      <c r="D137" t="s">
        <v>99</v>
      </c>
      <c r="E137" t="s">
        <v>260</v>
      </c>
      <c r="F137" t="s">
        <v>98</v>
      </c>
      <c r="G137" t="s">
        <v>244</v>
      </c>
      <c r="H137" t="s">
        <v>98</v>
      </c>
      <c r="I137" t="s">
        <v>100</v>
      </c>
      <c r="J137" t="s">
        <v>98</v>
      </c>
      <c r="K137" t="s">
        <v>104</v>
      </c>
      <c r="L137" t="s">
        <v>98</v>
      </c>
      <c r="M137" t="s">
        <v>261</v>
      </c>
      <c r="N137" t="s">
        <v>100</v>
      </c>
      <c r="O137" t="str">
        <f>CONCATENATE(A137,B137,C137,D137,E137,F137,G137,H137,I137,J137,K137,L137,M137,N137)</f>
        <v>"	ncf_tipo":["	ncf_tipo"," TEXT"],</v>
      </c>
    </row>
    <row r="138" spans="1:15" x14ac:dyDescent="0.25">
      <c r="A138" t="s">
        <v>98</v>
      </c>
      <c r="B138" t="s">
        <v>245</v>
      </c>
      <c r="C138" t="s">
        <v>98</v>
      </c>
      <c r="D138" t="s">
        <v>99</v>
      </c>
      <c r="E138" t="s">
        <v>260</v>
      </c>
      <c r="F138" t="s">
        <v>98</v>
      </c>
      <c r="G138" t="s">
        <v>245</v>
      </c>
      <c r="H138" t="s">
        <v>98</v>
      </c>
      <c r="I138" t="s">
        <v>100</v>
      </c>
      <c r="J138" t="s">
        <v>98</v>
      </c>
      <c r="K138" t="s">
        <v>104</v>
      </c>
      <c r="L138" t="s">
        <v>98</v>
      </c>
      <c r="M138" t="s">
        <v>261</v>
      </c>
      <c r="N138" t="s">
        <v>100</v>
      </c>
      <c r="O138" t="str">
        <f>CONCATENATE(A138,B138,C138,D138,E138,F138,G138,H138,I138,J138,K138,L138,M138,N138)</f>
        <v>"	ncf_id":["	ncf_id"," TEXT"],</v>
      </c>
    </row>
    <row r="139" spans="1:15" x14ac:dyDescent="0.25">
      <c r="A139" t="s">
        <v>98</v>
      </c>
      <c r="B139" t="s">
        <v>246</v>
      </c>
      <c r="C139" t="s">
        <v>98</v>
      </c>
      <c r="D139" t="s">
        <v>99</v>
      </c>
      <c r="E139" t="s">
        <v>260</v>
      </c>
      <c r="F139" t="s">
        <v>98</v>
      </c>
      <c r="G139" t="s">
        <v>246</v>
      </c>
      <c r="H139" t="s">
        <v>98</v>
      </c>
      <c r="I139" t="s">
        <v>100</v>
      </c>
      <c r="J139" t="s">
        <v>98</v>
      </c>
      <c r="K139" t="s">
        <v>107</v>
      </c>
      <c r="L139" t="s">
        <v>98</v>
      </c>
      <c r="M139" t="s">
        <v>261</v>
      </c>
      <c r="N139" t="s">
        <v>100</v>
      </c>
      <c r="O139" t="str">
        <f>CONCATENATE(A139,B139,C139,D139,E139,F139,G139,H139,I139,J139,K139,L139,M139,N139)</f>
        <v>"	otraformapago":["	otraformapago"," REAL"],</v>
      </c>
    </row>
    <row r="140" spans="1:15" x14ac:dyDescent="0.25">
      <c r="A140" t="s">
        <v>98</v>
      </c>
      <c r="B140" t="s">
        <v>247</v>
      </c>
      <c r="C140" t="s">
        <v>98</v>
      </c>
      <c r="D140" t="s">
        <v>99</v>
      </c>
      <c r="E140" t="s">
        <v>260</v>
      </c>
      <c r="F140" t="s">
        <v>98</v>
      </c>
      <c r="G140" t="s">
        <v>247</v>
      </c>
      <c r="H140" t="s">
        <v>98</v>
      </c>
      <c r="I140" t="s">
        <v>100</v>
      </c>
      <c r="J140" t="s">
        <v>98</v>
      </c>
      <c r="K140" t="s">
        <v>104</v>
      </c>
      <c r="L140" t="s">
        <v>98</v>
      </c>
      <c r="M140" t="s">
        <v>261</v>
      </c>
      <c r="N140" t="s">
        <v>100</v>
      </c>
      <c r="O140" t="str">
        <f>CONCATENATE(A140,B140,C140,D140,E140,F140,G140,H140,I140,J140,K140,L140,M140,N140)</f>
        <v>"	pedidovendedor":["	pedidovendedor"," TEXT"],</v>
      </c>
    </row>
    <row r="141" spans="1:15" x14ac:dyDescent="0.25">
      <c r="A141" t="s">
        <v>98</v>
      </c>
      <c r="B141" t="s">
        <v>248</v>
      </c>
      <c r="C141" t="s">
        <v>98</v>
      </c>
      <c r="D141" t="s">
        <v>99</v>
      </c>
      <c r="E141" t="s">
        <v>260</v>
      </c>
      <c r="F141" t="s">
        <v>98</v>
      </c>
      <c r="G141" t="s">
        <v>248</v>
      </c>
      <c r="H141" t="s">
        <v>98</v>
      </c>
      <c r="I141" t="s">
        <v>100</v>
      </c>
      <c r="J141" t="s">
        <v>98</v>
      </c>
      <c r="K141" t="s">
        <v>104</v>
      </c>
      <c r="L141" t="s">
        <v>98</v>
      </c>
      <c r="M141" t="s">
        <v>261</v>
      </c>
      <c r="N141" t="s">
        <v>100</v>
      </c>
      <c r="O141" t="str">
        <f>CONCATENATE(A141,B141,C141,D141,E141,F141,G141,H141,I141,J141,K141,L141,M141,N141)</f>
        <v>"	TipoLiga":["	TipoLiga"," TEXT"],</v>
      </c>
    </row>
    <row r="142" spans="1:15" x14ac:dyDescent="0.25">
      <c r="A142" t="s">
        <v>98</v>
      </c>
      <c r="B142" t="s">
        <v>249</v>
      </c>
      <c r="C142" t="s">
        <v>98</v>
      </c>
      <c r="D142" t="s">
        <v>99</v>
      </c>
      <c r="E142" t="s">
        <v>260</v>
      </c>
      <c r="F142" t="s">
        <v>98</v>
      </c>
      <c r="G142" t="s">
        <v>249</v>
      </c>
      <c r="H142" t="s">
        <v>98</v>
      </c>
      <c r="I142" t="s">
        <v>100</v>
      </c>
      <c r="J142" t="s">
        <v>98</v>
      </c>
      <c r="K142" t="s">
        <v>105</v>
      </c>
      <c r="L142" t="s">
        <v>98</v>
      </c>
      <c r="M142" t="s">
        <v>261</v>
      </c>
      <c r="N142" t="s">
        <v>100</v>
      </c>
      <c r="O142" t="str">
        <f>CONCATENATE(A142,B142,C142,D142,E142,F142,G142,H142,I142,J142,K142,L142,M142,N142)</f>
        <v>"	FormaPago":["	FormaPago"," INTEGER"],</v>
      </c>
    </row>
    <row r="143" spans="1:15" x14ac:dyDescent="0.25">
      <c r="A143" t="s">
        <v>98</v>
      </c>
      <c r="B143" t="s">
        <v>250</v>
      </c>
      <c r="C143" t="s">
        <v>98</v>
      </c>
      <c r="D143" t="s">
        <v>99</v>
      </c>
      <c r="E143" t="s">
        <v>260</v>
      </c>
      <c r="F143" t="s">
        <v>98</v>
      </c>
      <c r="G143" t="s">
        <v>250</v>
      </c>
      <c r="H143" t="s">
        <v>98</v>
      </c>
      <c r="I143" t="s">
        <v>100</v>
      </c>
      <c r="J143" t="s">
        <v>98</v>
      </c>
      <c r="K143" t="s">
        <v>104</v>
      </c>
      <c r="L143" t="s">
        <v>98</v>
      </c>
      <c r="M143" t="s">
        <v>261</v>
      </c>
      <c r="N143" t="s">
        <v>100</v>
      </c>
      <c r="O143" t="str">
        <f>CONCATENATE(A143,B143,C143,D143,E143,F143,G143,H143,I143,J143,K143,L143,M143,N143)</f>
        <v>"	NCFModificado":["	NCFModificado"," TEXT"],</v>
      </c>
    </row>
    <row r="144" spans="1:15" x14ac:dyDescent="0.25">
      <c r="A144" t="s">
        <v>98</v>
      </c>
      <c r="B144" t="s">
        <v>251</v>
      </c>
      <c r="C144" t="s">
        <v>98</v>
      </c>
      <c r="D144" t="s">
        <v>99</v>
      </c>
      <c r="E144" t="s">
        <v>260</v>
      </c>
      <c r="F144" t="s">
        <v>98</v>
      </c>
      <c r="G144" t="s">
        <v>251</v>
      </c>
      <c r="H144" t="s">
        <v>98</v>
      </c>
      <c r="I144" t="s">
        <v>100</v>
      </c>
      <c r="J144" t="s">
        <v>98</v>
      </c>
      <c r="K144" t="s">
        <v>106</v>
      </c>
      <c r="L144" t="s">
        <v>98</v>
      </c>
      <c r="M144" t="s">
        <v>261</v>
      </c>
      <c r="N144" t="s">
        <v>100</v>
      </c>
      <c r="O144" t="str">
        <f>CONCATENATE(A144,B144,C144,D144,E144,F144,G144,H144,I144,J144,K144,L144,M144,N144)</f>
        <v>"	FechaNCFModificado":["	FechaNCFModificado"," DATETIME"],</v>
      </c>
    </row>
    <row r="145" spans="1:15" x14ac:dyDescent="0.25">
      <c r="A145" t="s">
        <v>98</v>
      </c>
      <c r="B145" t="s">
        <v>252</v>
      </c>
      <c r="C145" t="s">
        <v>98</v>
      </c>
      <c r="D145" t="s">
        <v>99</v>
      </c>
      <c r="E145" t="s">
        <v>260</v>
      </c>
      <c r="F145" t="s">
        <v>98</v>
      </c>
      <c r="G145" t="s">
        <v>252</v>
      </c>
      <c r="H145" t="s">
        <v>98</v>
      </c>
      <c r="I145" t="s">
        <v>100</v>
      </c>
      <c r="J145" t="s">
        <v>98</v>
      </c>
      <c r="K145" t="s">
        <v>104</v>
      </c>
      <c r="L145" t="s">
        <v>98</v>
      </c>
      <c r="M145" t="s">
        <v>261</v>
      </c>
      <c r="N145" t="s">
        <v>100</v>
      </c>
      <c r="O145" t="str">
        <f>CONCATENATE(A145,B145,C145,D145,E145,F145,G145,H145,I145,J145,K145,L145,M145,N145)</f>
        <v>"	CodigoModificacion":["	CodigoModificacion"," TEXT"],</v>
      </c>
    </row>
    <row r="146" spans="1:15" x14ac:dyDescent="0.25">
      <c r="A146" t="s">
        <v>98</v>
      </c>
      <c r="B146" t="s">
        <v>253</v>
      </c>
      <c r="C146" t="s">
        <v>98</v>
      </c>
      <c r="D146" t="s">
        <v>99</v>
      </c>
      <c r="E146" t="s">
        <v>260</v>
      </c>
      <c r="F146" t="s">
        <v>98</v>
      </c>
      <c r="G146" t="s">
        <v>253</v>
      </c>
      <c r="H146" t="s">
        <v>98</v>
      </c>
      <c r="I146" t="s">
        <v>100</v>
      </c>
      <c r="J146" t="s">
        <v>98</v>
      </c>
      <c r="K146" t="s">
        <v>104</v>
      </c>
      <c r="L146" t="s">
        <v>98</v>
      </c>
      <c r="M146" t="s">
        <v>261</v>
      </c>
      <c r="N146" t="s">
        <v>100</v>
      </c>
      <c r="O146" t="str">
        <f>CONCATENATE(A146,B146,C146,D146,E146,F146,G146,H146,I146,J146,K146,L146,M146,N146)</f>
        <v>"	RazonModificacion":["	RazonModificacion"," TEXT"],</v>
      </c>
    </row>
    <row r="147" spans="1:15" x14ac:dyDescent="0.25">
      <c r="A147" t="s">
        <v>98</v>
      </c>
      <c r="B147" t="s">
        <v>254</v>
      </c>
      <c r="C147" t="s">
        <v>98</v>
      </c>
      <c r="D147" t="s">
        <v>99</v>
      </c>
      <c r="E147" t="s">
        <v>260</v>
      </c>
      <c r="F147" t="s">
        <v>98</v>
      </c>
      <c r="G147" t="s">
        <v>254</v>
      </c>
      <c r="H147" t="s">
        <v>98</v>
      </c>
      <c r="I147" t="s">
        <v>100</v>
      </c>
      <c r="J147" t="s">
        <v>98</v>
      </c>
      <c r="K147" t="s">
        <v>104</v>
      </c>
      <c r="L147" t="s">
        <v>98</v>
      </c>
      <c r="M147" t="s">
        <v>261</v>
      </c>
      <c r="N147" t="s">
        <v>100</v>
      </c>
      <c r="O147" t="str">
        <f>CONCATENATE(A147,B147,C147,D147,E147,F147,G147,H147,I147,J147,K147,L147,M147,N147)</f>
        <v>"	IndicadorNotaCredito":["	IndicadorNotaCredito"," TEXT"],</v>
      </c>
    </row>
    <row r="148" spans="1:15" x14ac:dyDescent="0.25">
      <c r="A148" t="s">
        <v>98</v>
      </c>
      <c r="B148" t="s">
        <v>255</v>
      </c>
      <c r="C148" t="s">
        <v>98</v>
      </c>
      <c r="D148" t="s">
        <v>99</v>
      </c>
      <c r="E148" t="s">
        <v>260</v>
      </c>
      <c r="F148" t="s">
        <v>98</v>
      </c>
      <c r="G148" t="s">
        <v>255</v>
      </c>
      <c r="H148" t="s">
        <v>98</v>
      </c>
      <c r="I148" t="s">
        <v>100</v>
      </c>
      <c r="J148" t="s">
        <v>98</v>
      </c>
      <c r="K148" t="s">
        <v>104</v>
      </c>
      <c r="L148" t="s">
        <v>98</v>
      </c>
      <c r="M148" t="s">
        <v>261</v>
      </c>
      <c r="N148" t="s">
        <v>100</v>
      </c>
      <c r="O148" t="str">
        <f>CONCATENATE(A148,B148,C148,D148,E148,F148,G148,H148,I148,J148,K148,L148,M148,N148)</f>
        <v>"	NumeroPedidoInterno":["	NumeroPedidoInterno"," TEXT"],</v>
      </c>
    </row>
    <row r="149" spans="1:15" x14ac:dyDescent="0.25">
      <c r="A149" t="s">
        <v>98</v>
      </c>
      <c r="B149" t="s">
        <v>256</v>
      </c>
      <c r="C149" t="s">
        <v>98</v>
      </c>
      <c r="D149" t="s">
        <v>99</v>
      </c>
      <c r="E149" t="s">
        <v>260</v>
      </c>
      <c r="F149" t="s">
        <v>98</v>
      </c>
      <c r="G149" t="s">
        <v>256</v>
      </c>
      <c r="H149" t="s">
        <v>98</v>
      </c>
      <c r="I149" t="s">
        <v>100</v>
      </c>
      <c r="J149" t="s">
        <v>98</v>
      </c>
      <c r="K149" t="s">
        <v>104</v>
      </c>
      <c r="L149" t="s">
        <v>98</v>
      </c>
      <c r="M149" t="s">
        <v>261</v>
      </c>
      <c r="N149" t="s">
        <v>100</v>
      </c>
      <c r="O149" t="str">
        <f>CONCATENATE(A149,B149,C149,D149,E149,F149,G149,H149,I149,J149,K149,L149,M149,N149)</f>
        <v>"	NumeroFacturaInterna":["	NumeroFacturaInterna"," TEXT"],</v>
      </c>
    </row>
    <row r="150" spans="1:15" x14ac:dyDescent="0.25">
      <c r="A150" t="s">
        <v>98</v>
      </c>
      <c r="B150" t="s">
        <v>257</v>
      </c>
      <c r="C150" t="s">
        <v>98</v>
      </c>
      <c r="D150" t="s">
        <v>99</v>
      </c>
      <c r="E150" t="s">
        <v>260</v>
      </c>
      <c r="F150" t="s">
        <v>98</v>
      </c>
      <c r="G150" t="s">
        <v>257</v>
      </c>
      <c r="H150" t="s">
        <v>98</v>
      </c>
      <c r="I150" t="s">
        <v>100</v>
      </c>
      <c r="J150" t="s">
        <v>98</v>
      </c>
      <c r="K150" t="s">
        <v>104</v>
      </c>
      <c r="L150" t="s">
        <v>98</v>
      </c>
      <c r="M150" t="s">
        <v>261</v>
      </c>
      <c r="N150" t="s">
        <v>100</v>
      </c>
      <c r="O150" t="str">
        <f>CONCATENATE(A150,B150,C150,D150,E150,F150,G150,H150,I150,J150,K150,L150,M150,N150)</f>
        <v>"	CodigoVendedor":["	CodigoVendedor"," TEXT"],</v>
      </c>
    </row>
    <row r="151" spans="1:15" x14ac:dyDescent="0.25">
      <c r="A151" t="s">
        <v>98</v>
      </c>
      <c r="B151" t="s">
        <v>258</v>
      </c>
      <c r="C151" t="s">
        <v>98</v>
      </c>
      <c r="D151" t="s">
        <v>99</v>
      </c>
      <c r="E151" t="s">
        <v>260</v>
      </c>
      <c r="F151" t="s">
        <v>98</v>
      </c>
      <c r="G151" t="s">
        <v>258</v>
      </c>
      <c r="H151" t="s">
        <v>98</v>
      </c>
      <c r="I151" t="s">
        <v>100</v>
      </c>
      <c r="J151" t="s">
        <v>98</v>
      </c>
      <c r="K151" t="s">
        <v>104</v>
      </c>
      <c r="L151" t="s">
        <v>98</v>
      </c>
      <c r="M151" t="s">
        <v>261</v>
      </c>
      <c r="N151" t="s">
        <v>100</v>
      </c>
      <c r="O151" t="str">
        <f>CONCATENATE(A151,B151,C151,D151,E151,F151,G151,H151,I151,J151,K151,L151,M151,N151)</f>
        <v>"	CodigoInternoComprador":["	CodigoInternoComprador"," TEXT"],</v>
      </c>
    </row>
    <row r="152" spans="1:15" x14ac:dyDescent="0.25">
      <c r="A152" t="s">
        <v>98</v>
      </c>
      <c r="B152" t="s">
        <v>259</v>
      </c>
      <c r="C152" t="s">
        <v>98</v>
      </c>
      <c r="D152" t="s">
        <v>99</v>
      </c>
      <c r="E152" t="s">
        <v>260</v>
      </c>
      <c r="F152" t="s">
        <v>98</v>
      </c>
      <c r="G152" t="s">
        <v>259</v>
      </c>
      <c r="H152" t="s">
        <v>98</v>
      </c>
      <c r="I152" t="s">
        <v>100</v>
      </c>
      <c r="J152" t="s">
        <v>98</v>
      </c>
      <c r="K152" t="s">
        <v>104</v>
      </c>
      <c r="L152" t="s">
        <v>98</v>
      </c>
      <c r="M152" t="s">
        <v>261</v>
      </c>
      <c r="O152" t="str">
        <f>CONCATENATE(A152,B152,C152,D152,E152,F152,G152,H152,I152,J152,K152,L152,M152,N152)</f>
        <v>"	EstadoFiscal":["	EstadoFiscal"," TEXT"]</v>
      </c>
    </row>
  </sheetData>
  <phoneticPr fontId="1" type="noConversion"/>
  <pageMargins left="0.7" right="0.7" top="0.75" bottom="0.75" header="0.3" footer="0.3"/>
  <pageSetup paperSize="0" orientation="portrait" horizontalDpi="16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20F6-B7E2-44F3-8DBF-FE9458D25BA3}">
  <dimension ref="A1:P97"/>
  <sheetViews>
    <sheetView tabSelected="1" workbookViewId="0">
      <selection activeCell="O1" sqref="O1:O97"/>
    </sheetView>
  </sheetViews>
  <sheetFormatPr baseColWidth="10" defaultRowHeight="15" x14ac:dyDescent="0.25"/>
  <cols>
    <col min="15" max="15" width="80" bestFit="1" customWidth="1"/>
  </cols>
  <sheetData>
    <row r="1" spans="1:16" x14ac:dyDescent="0.25">
      <c r="A1" t="s">
        <v>98</v>
      </c>
      <c r="B1" t="s">
        <v>3</v>
      </c>
      <c r="C1" t="s">
        <v>98</v>
      </c>
      <c r="D1" t="s">
        <v>99</v>
      </c>
      <c r="E1" t="s">
        <v>103</v>
      </c>
      <c r="F1" t="s">
        <v>98</v>
      </c>
      <c r="G1" t="s">
        <v>3</v>
      </c>
      <c r="H1" t="s">
        <v>98</v>
      </c>
      <c r="I1" t="s">
        <v>100</v>
      </c>
      <c r="J1" t="s">
        <v>98</v>
      </c>
      <c r="K1" t="s">
        <v>104</v>
      </c>
      <c r="L1" t="s">
        <v>98</v>
      </c>
      <c r="M1" t="s">
        <v>102</v>
      </c>
      <c r="N1" t="s">
        <v>100</v>
      </c>
      <c r="O1" t="str">
        <f>_xlfn.CONCAT(A1:N1)</f>
        <v>"numero":("numero"," TEXT"),</v>
      </c>
      <c r="P1" t="s">
        <v>101</v>
      </c>
    </row>
    <row r="2" spans="1:16" x14ac:dyDescent="0.25">
      <c r="A2" t="s">
        <v>98</v>
      </c>
      <c r="B2" t="s">
        <v>4</v>
      </c>
      <c r="C2" t="s">
        <v>98</v>
      </c>
      <c r="D2" t="s">
        <v>99</v>
      </c>
      <c r="E2" t="s">
        <v>103</v>
      </c>
      <c r="F2" t="s">
        <v>98</v>
      </c>
      <c r="G2" t="s">
        <v>4</v>
      </c>
      <c r="H2" t="s">
        <v>98</v>
      </c>
      <c r="I2" t="s">
        <v>100</v>
      </c>
      <c r="J2" t="s">
        <v>98</v>
      </c>
      <c r="K2" t="s">
        <v>104</v>
      </c>
      <c r="L2" t="s">
        <v>98</v>
      </c>
      <c r="M2" t="s">
        <v>102</v>
      </c>
      <c r="N2" t="s">
        <v>100</v>
      </c>
      <c r="O2" t="str">
        <f t="shared" ref="O2:O65" si="0">_xlfn.CONCAT(A2:N2)</f>
        <v>"documento":("documento"," TEXT"),</v>
      </c>
    </row>
    <row r="3" spans="1:16" x14ac:dyDescent="0.25">
      <c r="A3" t="s">
        <v>98</v>
      </c>
      <c r="B3" t="s">
        <v>2</v>
      </c>
      <c r="C3" t="s">
        <v>98</v>
      </c>
      <c r="D3" t="s">
        <v>99</v>
      </c>
      <c r="E3" t="s">
        <v>103</v>
      </c>
      <c r="F3" t="s">
        <v>98</v>
      </c>
      <c r="G3" t="s">
        <v>2</v>
      </c>
      <c r="H3" t="s">
        <v>98</v>
      </c>
      <c r="I3" t="s">
        <v>100</v>
      </c>
      <c r="J3" t="s">
        <v>98</v>
      </c>
      <c r="K3" t="s">
        <v>104</v>
      </c>
      <c r="L3" t="s">
        <v>98</v>
      </c>
      <c r="M3" t="s">
        <v>102</v>
      </c>
      <c r="N3" t="s">
        <v>100</v>
      </c>
      <c r="O3" t="str">
        <f t="shared" si="0"/>
        <v>"tipo":("tipo"," TEXT"),</v>
      </c>
    </row>
    <row r="4" spans="1:16" x14ac:dyDescent="0.25">
      <c r="A4" t="s">
        <v>98</v>
      </c>
      <c r="B4" t="s">
        <v>1</v>
      </c>
      <c r="C4" t="s">
        <v>98</v>
      </c>
      <c r="D4" t="s">
        <v>99</v>
      </c>
      <c r="E4" t="s">
        <v>103</v>
      </c>
      <c r="F4" t="s">
        <v>98</v>
      </c>
      <c r="G4" t="s">
        <v>1</v>
      </c>
      <c r="H4" t="s">
        <v>98</v>
      </c>
      <c r="I4" t="s">
        <v>100</v>
      </c>
      <c r="J4" t="s">
        <v>98</v>
      </c>
      <c r="K4" t="s">
        <v>106</v>
      </c>
      <c r="L4" t="s">
        <v>98</v>
      </c>
      <c r="M4" t="s">
        <v>102</v>
      </c>
      <c r="N4" t="s">
        <v>100</v>
      </c>
      <c r="O4" t="str">
        <f t="shared" si="0"/>
        <v>"fecha":("fecha"," DATETIME"),</v>
      </c>
    </row>
    <row r="5" spans="1:16" x14ac:dyDescent="0.25">
      <c r="A5" t="s">
        <v>98</v>
      </c>
      <c r="B5" t="s">
        <v>5</v>
      </c>
      <c r="C5" t="s">
        <v>98</v>
      </c>
      <c r="D5" t="s">
        <v>99</v>
      </c>
      <c r="E5" t="s">
        <v>103</v>
      </c>
      <c r="F5" t="s">
        <v>98</v>
      </c>
      <c r="G5" t="s">
        <v>5</v>
      </c>
      <c r="H5" t="s">
        <v>98</v>
      </c>
      <c r="I5" t="s">
        <v>100</v>
      </c>
      <c r="J5" t="s">
        <v>98</v>
      </c>
      <c r="K5" t="s">
        <v>104</v>
      </c>
      <c r="L5" t="s">
        <v>98</v>
      </c>
      <c r="M5" t="s">
        <v>102</v>
      </c>
      <c r="N5" t="s">
        <v>100</v>
      </c>
      <c r="O5" t="str">
        <f t="shared" si="0"/>
        <v>"cliente":("cliente"," TEXT"),</v>
      </c>
    </row>
    <row r="6" spans="1:16" x14ac:dyDescent="0.25">
      <c r="A6" t="s">
        <v>98</v>
      </c>
      <c r="B6" t="s">
        <v>6</v>
      </c>
      <c r="C6" t="s">
        <v>98</v>
      </c>
      <c r="D6" t="s">
        <v>99</v>
      </c>
      <c r="E6" t="s">
        <v>103</v>
      </c>
      <c r="F6" t="s">
        <v>98</v>
      </c>
      <c r="G6" t="s">
        <v>6</v>
      </c>
      <c r="H6" t="s">
        <v>98</v>
      </c>
      <c r="I6" t="s">
        <v>100</v>
      </c>
      <c r="J6" t="s">
        <v>98</v>
      </c>
      <c r="K6" t="s">
        <v>104</v>
      </c>
      <c r="L6" t="s">
        <v>98</v>
      </c>
      <c r="M6" t="s">
        <v>102</v>
      </c>
      <c r="N6" t="s">
        <v>100</v>
      </c>
      <c r="O6" t="str">
        <f t="shared" si="0"/>
        <v>"suplidor":("suplidor"," TEXT"),</v>
      </c>
    </row>
    <row r="7" spans="1:16" x14ac:dyDescent="0.25">
      <c r="A7" t="s">
        <v>98</v>
      </c>
      <c r="B7" t="s">
        <v>27</v>
      </c>
      <c r="C7" t="s">
        <v>98</v>
      </c>
      <c r="D7" t="s">
        <v>99</v>
      </c>
      <c r="E7" t="s">
        <v>103</v>
      </c>
      <c r="F7" t="s">
        <v>98</v>
      </c>
      <c r="G7" t="s">
        <v>27</v>
      </c>
      <c r="H7" t="s">
        <v>98</v>
      </c>
      <c r="I7" t="s">
        <v>100</v>
      </c>
      <c r="J7" t="s">
        <v>98</v>
      </c>
      <c r="K7" t="s">
        <v>104</v>
      </c>
      <c r="L7" t="s">
        <v>98</v>
      </c>
      <c r="M7" t="s">
        <v>102</v>
      </c>
      <c r="N7" t="s">
        <v>100</v>
      </c>
      <c r="O7" t="str">
        <f t="shared" si="0"/>
        <v>"producto":("producto"," TEXT"),</v>
      </c>
    </row>
    <row r="8" spans="1:16" x14ac:dyDescent="0.25">
      <c r="A8" t="s">
        <v>98</v>
      </c>
      <c r="B8" t="s">
        <v>28</v>
      </c>
      <c r="C8" t="s">
        <v>98</v>
      </c>
      <c r="D8" t="s">
        <v>99</v>
      </c>
      <c r="E8" t="s">
        <v>103</v>
      </c>
      <c r="F8" t="s">
        <v>98</v>
      </c>
      <c r="G8" t="s">
        <v>28</v>
      </c>
      <c r="H8" t="s">
        <v>98</v>
      </c>
      <c r="I8" t="s">
        <v>100</v>
      </c>
      <c r="J8" t="s">
        <v>98</v>
      </c>
      <c r="K8" t="s">
        <v>107</v>
      </c>
      <c r="L8" t="s">
        <v>98</v>
      </c>
      <c r="M8" t="s">
        <v>102</v>
      </c>
      <c r="N8" t="s">
        <v>100</v>
      </c>
      <c r="O8" t="str">
        <f t="shared" si="0"/>
        <v>"cantidad":("cantidad"," REAL"),</v>
      </c>
    </row>
    <row r="9" spans="1:16" x14ac:dyDescent="0.25">
      <c r="A9" t="s">
        <v>98</v>
      </c>
      <c r="B9" t="s">
        <v>29</v>
      </c>
      <c r="C9" t="s">
        <v>98</v>
      </c>
      <c r="D9" t="s">
        <v>99</v>
      </c>
      <c r="E9" t="s">
        <v>103</v>
      </c>
      <c r="F9" t="s">
        <v>98</v>
      </c>
      <c r="G9" t="s">
        <v>29</v>
      </c>
      <c r="H9" t="s">
        <v>98</v>
      </c>
      <c r="I9" t="s">
        <v>100</v>
      </c>
      <c r="J9" t="s">
        <v>98</v>
      </c>
      <c r="K9" t="s">
        <v>107</v>
      </c>
      <c r="L9" t="s">
        <v>98</v>
      </c>
      <c r="M9" t="s">
        <v>102</v>
      </c>
      <c r="N9" t="s">
        <v>100</v>
      </c>
      <c r="O9" t="str">
        <f t="shared" si="0"/>
        <v>"precio":("precio"," REAL"),</v>
      </c>
    </row>
    <row r="10" spans="1:16" x14ac:dyDescent="0.25">
      <c r="A10" t="s">
        <v>98</v>
      </c>
      <c r="B10" t="s">
        <v>30</v>
      </c>
      <c r="C10" t="s">
        <v>98</v>
      </c>
      <c r="D10" t="s">
        <v>99</v>
      </c>
      <c r="E10" t="s">
        <v>103</v>
      </c>
      <c r="F10" t="s">
        <v>98</v>
      </c>
      <c r="G10" t="s">
        <v>30</v>
      </c>
      <c r="H10" t="s">
        <v>98</v>
      </c>
      <c r="I10" t="s">
        <v>100</v>
      </c>
      <c r="J10" t="s">
        <v>98</v>
      </c>
      <c r="K10" t="s">
        <v>107</v>
      </c>
      <c r="L10" t="s">
        <v>98</v>
      </c>
      <c r="M10" t="s">
        <v>102</v>
      </c>
      <c r="N10" t="s">
        <v>100</v>
      </c>
      <c r="O10" t="str">
        <f t="shared" si="0"/>
        <v>"precio1":("precio1"," REAL"),</v>
      </c>
    </row>
    <row r="11" spans="1:16" x14ac:dyDescent="0.25">
      <c r="A11" t="s">
        <v>98</v>
      </c>
      <c r="B11" t="s">
        <v>31</v>
      </c>
      <c r="C11" t="s">
        <v>98</v>
      </c>
      <c r="D11" t="s">
        <v>99</v>
      </c>
      <c r="E11" t="s">
        <v>103</v>
      </c>
      <c r="F11" t="s">
        <v>98</v>
      </c>
      <c r="G11" t="s">
        <v>31</v>
      </c>
      <c r="H11" t="s">
        <v>98</v>
      </c>
      <c r="I11" t="s">
        <v>100</v>
      </c>
      <c r="J11" t="s">
        <v>98</v>
      </c>
      <c r="K11" t="s">
        <v>107</v>
      </c>
      <c r="L11" t="s">
        <v>98</v>
      </c>
      <c r="M11" t="s">
        <v>102</v>
      </c>
      <c r="N11" t="s">
        <v>100</v>
      </c>
      <c r="O11" t="str">
        <f t="shared" si="0"/>
        <v>"costo1":("costo1"," REAL"),</v>
      </c>
    </row>
    <row r="12" spans="1:16" x14ac:dyDescent="0.25">
      <c r="A12" t="s">
        <v>98</v>
      </c>
      <c r="B12" t="s">
        <v>32</v>
      </c>
      <c r="C12" t="s">
        <v>98</v>
      </c>
      <c r="D12" t="s">
        <v>99</v>
      </c>
      <c r="E12" t="s">
        <v>103</v>
      </c>
      <c r="F12" t="s">
        <v>98</v>
      </c>
      <c r="G12" t="s">
        <v>32</v>
      </c>
      <c r="H12" t="s">
        <v>98</v>
      </c>
      <c r="I12" t="s">
        <v>100</v>
      </c>
      <c r="J12" t="s">
        <v>98</v>
      </c>
      <c r="K12" t="s">
        <v>107</v>
      </c>
      <c r="L12" t="s">
        <v>98</v>
      </c>
      <c r="M12" t="s">
        <v>102</v>
      </c>
      <c r="N12" t="s">
        <v>100</v>
      </c>
      <c r="O12" t="str">
        <f t="shared" si="0"/>
        <v>"costo2":("costo2"," REAL"),</v>
      </c>
    </row>
    <row r="13" spans="1:16" x14ac:dyDescent="0.25">
      <c r="A13" t="s">
        <v>98</v>
      </c>
      <c r="B13" t="s">
        <v>33</v>
      </c>
      <c r="C13" t="s">
        <v>98</v>
      </c>
      <c r="D13" t="s">
        <v>99</v>
      </c>
      <c r="E13" t="s">
        <v>103</v>
      </c>
      <c r="F13" t="s">
        <v>98</v>
      </c>
      <c r="G13" t="s">
        <v>33</v>
      </c>
      <c r="H13" t="s">
        <v>98</v>
      </c>
      <c r="I13" t="s">
        <v>100</v>
      </c>
      <c r="J13" t="s">
        <v>98</v>
      </c>
      <c r="K13" t="s">
        <v>107</v>
      </c>
      <c r="L13" t="s">
        <v>98</v>
      </c>
      <c r="M13" t="s">
        <v>102</v>
      </c>
      <c r="N13" t="s">
        <v>100</v>
      </c>
      <c r="O13" t="str">
        <f t="shared" si="0"/>
        <v>"monto1":("monto1"," REAL"),</v>
      </c>
    </row>
    <row r="14" spans="1:16" x14ac:dyDescent="0.25">
      <c r="A14" t="s">
        <v>98</v>
      </c>
      <c r="B14" t="s">
        <v>34</v>
      </c>
      <c r="C14" t="s">
        <v>98</v>
      </c>
      <c r="D14" t="s">
        <v>99</v>
      </c>
      <c r="E14" t="s">
        <v>103</v>
      </c>
      <c r="F14" t="s">
        <v>98</v>
      </c>
      <c r="G14" t="s">
        <v>34</v>
      </c>
      <c r="H14" t="s">
        <v>98</v>
      </c>
      <c r="I14" t="s">
        <v>100</v>
      </c>
      <c r="J14" t="s">
        <v>98</v>
      </c>
      <c r="K14" t="s">
        <v>107</v>
      </c>
      <c r="L14" t="s">
        <v>98</v>
      </c>
      <c r="M14" t="s">
        <v>102</v>
      </c>
      <c r="N14" t="s">
        <v>100</v>
      </c>
      <c r="O14" t="str">
        <f t="shared" si="0"/>
        <v>"monto2":("monto2"," REAL"),</v>
      </c>
    </row>
    <row r="15" spans="1:16" x14ac:dyDescent="0.25">
      <c r="A15" t="s">
        <v>98</v>
      </c>
      <c r="B15" t="s">
        <v>7</v>
      </c>
      <c r="C15" t="s">
        <v>98</v>
      </c>
      <c r="D15" t="s">
        <v>99</v>
      </c>
      <c r="E15" t="s">
        <v>103</v>
      </c>
      <c r="F15" t="s">
        <v>98</v>
      </c>
      <c r="G15" t="s">
        <v>7</v>
      </c>
      <c r="H15" t="s">
        <v>98</v>
      </c>
      <c r="I15" t="s">
        <v>100</v>
      </c>
      <c r="J15" t="s">
        <v>98</v>
      </c>
      <c r="K15" t="s">
        <v>107</v>
      </c>
      <c r="L15" t="s">
        <v>98</v>
      </c>
      <c r="M15" t="s">
        <v>102</v>
      </c>
      <c r="N15" t="s">
        <v>100</v>
      </c>
      <c r="O15" t="str">
        <f t="shared" si="0"/>
        <v>"itbis":("itbis"," REAL"),</v>
      </c>
    </row>
    <row r="16" spans="1:16" x14ac:dyDescent="0.25">
      <c r="A16" t="s">
        <v>98</v>
      </c>
      <c r="B16" t="s">
        <v>35</v>
      </c>
      <c r="C16" t="s">
        <v>98</v>
      </c>
      <c r="D16" t="s">
        <v>99</v>
      </c>
      <c r="E16" t="s">
        <v>103</v>
      </c>
      <c r="F16" t="s">
        <v>98</v>
      </c>
      <c r="G16" t="s">
        <v>35</v>
      </c>
      <c r="H16" t="s">
        <v>98</v>
      </c>
      <c r="I16" t="s">
        <v>100</v>
      </c>
      <c r="J16" t="s">
        <v>98</v>
      </c>
      <c r="K16" t="s">
        <v>107</v>
      </c>
      <c r="L16" t="s">
        <v>98</v>
      </c>
      <c r="M16" t="s">
        <v>102</v>
      </c>
      <c r="N16" t="s">
        <v>100</v>
      </c>
      <c r="O16" t="str">
        <f t="shared" si="0"/>
        <v>"montoitbis":("montoitbis"," REAL"),</v>
      </c>
    </row>
    <row r="17" spans="1:15" x14ac:dyDescent="0.25">
      <c r="A17" t="s">
        <v>98</v>
      </c>
      <c r="B17" t="s">
        <v>9</v>
      </c>
      <c r="C17" t="s">
        <v>98</v>
      </c>
      <c r="D17" t="s">
        <v>99</v>
      </c>
      <c r="E17" t="s">
        <v>103</v>
      </c>
      <c r="F17" t="s">
        <v>98</v>
      </c>
      <c r="G17" t="s">
        <v>9</v>
      </c>
      <c r="H17" t="s">
        <v>98</v>
      </c>
      <c r="I17" t="s">
        <v>100</v>
      </c>
      <c r="J17" t="s">
        <v>98</v>
      </c>
      <c r="K17" t="s">
        <v>107</v>
      </c>
      <c r="L17" t="s">
        <v>98</v>
      </c>
      <c r="M17" t="s">
        <v>102</v>
      </c>
      <c r="N17" t="s">
        <v>100</v>
      </c>
      <c r="O17" t="str">
        <f t="shared" si="0"/>
        <v>"descuen":("descuen"," REAL"),</v>
      </c>
    </row>
    <row r="18" spans="1:15" x14ac:dyDescent="0.25">
      <c r="A18" t="s">
        <v>98</v>
      </c>
      <c r="B18" t="s">
        <v>36</v>
      </c>
      <c r="C18" t="s">
        <v>98</v>
      </c>
      <c r="D18" t="s">
        <v>99</v>
      </c>
      <c r="E18" t="s">
        <v>103</v>
      </c>
      <c r="F18" t="s">
        <v>98</v>
      </c>
      <c r="G18" t="s">
        <v>36</v>
      </c>
      <c r="H18" t="s">
        <v>98</v>
      </c>
      <c r="I18" t="s">
        <v>100</v>
      </c>
      <c r="J18" t="s">
        <v>98</v>
      </c>
      <c r="K18" t="s">
        <v>107</v>
      </c>
      <c r="L18" t="s">
        <v>98</v>
      </c>
      <c r="M18" t="s">
        <v>102</v>
      </c>
      <c r="N18" t="s">
        <v>100</v>
      </c>
      <c r="O18" t="str">
        <f t="shared" si="0"/>
        <v>"montodesc":("montodesc"," REAL"),</v>
      </c>
    </row>
    <row r="19" spans="1:15" x14ac:dyDescent="0.25">
      <c r="A19" t="s">
        <v>98</v>
      </c>
      <c r="B19" t="s">
        <v>10</v>
      </c>
      <c r="C19" t="s">
        <v>98</v>
      </c>
      <c r="D19" t="s">
        <v>99</v>
      </c>
      <c r="E19" t="s">
        <v>103</v>
      </c>
      <c r="F19" t="s">
        <v>98</v>
      </c>
      <c r="G19" t="s">
        <v>10</v>
      </c>
      <c r="H19" t="s">
        <v>98</v>
      </c>
      <c r="I19" t="s">
        <v>100</v>
      </c>
      <c r="J19" t="s">
        <v>98</v>
      </c>
      <c r="K19" t="s">
        <v>104</v>
      </c>
      <c r="L19" t="s">
        <v>98</v>
      </c>
      <c r="M19" t="s">
        <v>102</v>
      </c>
      <c r="N19" t="s">
        <v>100</v>
      </c>
      <c r="O19" t="str">
        <f t="shared" si="0"/>
        <v>"vendedor":("vendedor"," TEXT"),</v>
      </c>
    </row>
    <row r="20" spans="1:15" x14ac:dyDescent="0.25">
      <c r="A20" t="s">
        <v>98</v>
      </c>
      <c r="B20" t="s">
        <v>11</v>
      </c>
      <c r="C20" t="s">
        <v>98</v>
      </c>
      <c r="D20" t="s">
        <v>99</v>
      </c>
      <c r="E20" t="s">
        <v>103</v>
      </c>
      <c r="F20" t="s">
        <v>98</v>
      </c>
      <c r="G20" t="s">
        <v>11</v>
      </c>
      <c r="H20" t="s">
        <v>98</v>
      </c>
      <c r="I20" t="s">
        <v>100</v>
      </c>
      <c r="J20" t="s">
        <v>98</v>
      </c>
      <c r="K20" t="s">
        <v>104</v>
      </c>
      <c r="L20" t="s">
        <v>98</v>
      </c>
      <c r="M20" t="s">
        <v>102</v>
      </c>
      <c r="N20" t="s">
        <v>100</v>
      </c>
      <c r="O20" t="str">
        <f t="shared" si="0"/>
        <v>"zona":("zona"," TEXT"),</v>
      </c>
    </row>
    <row r="21" spans="1:15" x14ac:dyDescent="0.25">
      <c r="A21" t="s">
        <v>98</v>
      </c>
      <c r="B21" t="s">
        <v>12</v>
      </c>
      <c r="C21" t="s">
        <v>98</v>
      </c>
      <c r="D21" t="s">
        <v>99</v>
      </c>
      <c r="E21" t="s">
        <v>103</v>
      </c>
      <c r="F21" t="s">
        <v>98</v>
      </c>
      <c r="G21" t="s">
        <v>12</v>
      </c>
      <c r="H21" t="s">
        <v>98</v>
      </c>
      <c r="I21" t="s">
        <v>100</v>
      </c>
      <c r="J21" t="s">
        <v>98</v>
      </c>
      <c r="K21" t="s">
        <v>104</v>
      </c>
      <c r="L21" t="s">
        <v>98</v>
      </c>
      <c r="M21" t="s">
        <v>102</v>
      </c>
      <c r="N21" t="s">
        <v>100</v>
      </c>
      <c r="O21" t="str">
        <f t="shared" si="0"/>
        <v>"provincia":("provincia"," TEXT"),</v>
      </c>
    </row>
    <row r="22" spans="1:15" x14ac:dyDescent="0.25">
      <c r="A22" t="s">
        <v>98</v>
      </c>
      <c r="B22" t="s">
        <v>13</v>
      </c>
      <c r="C22" t="s">
        <v>98</v>
      </c>
      <c r="D22" t="s">
        <v>99</v>
      </c>
      <c r="E22" t="s">
        <v>103</v>
      </c>
      <c r="F22" t="s">
        <v>98</v>
      </c>
      <c r="G22" t="s">
        <v>13</v>
      </c>
      <c r="H22" t="s">
        <v>98</v>
      </c>
      <c r="I22" t="s">
        <v>100</v>
      </c>
      <c r="J22" t="s">
        <v>98</v>
      </c>
      <c r="K22" t="s">
        <v>104</v>
      </c>
      <c r="L22" t="s">
        <v>98</v>
      </c>
      <c r="M22" t="s">
        <v>102</v>
      </c>
      <c r="N22" t="s">
        <v>100</v>
      </c>
      <c r="O22" t="str">
        <f t="shared" si="0"/>
        <v>"almacen":("almacen"," TEXT"),</v>
      </c>
    </row>
    <row r="23" spans="1:15" x14ac:dyDescent="0.25">
      <c r="A23" t="s">
        <v>98</v>
      </c>
      <c r="B23" t="s">
        <v>37</v>
      </c>
      <c r="C23" t="s">
        <v>98</v>
      </c>
      <c r="D23" t="s">
        <v>99</v>
      </c>
      <c r="E23" t="s">
        <v>103</v>
      </c>
      <c r="F23" t="s">
        <v>98</v>
      </c>
      <c r="G23" t="s">
        <v>37</v>
      </c>
      <c r="H23" t="s">
        <v>98</v>
      </c>
      <c r="I23" t="s">
        <v>100</v>
      </c>
      <c r="J23" t="s">
        <v>98</v>
      </c>
      <c r="K23" t="s">
        <v>107</v>
      </c>
      <c r="L23" t="s">
        <v>98</v>
      </c>
      <c r="M23" t="s">
        <v>102</v>
      </c>
      <c r="N23" t="s">
        <v>100</v>
      </c>
      <c r="O23" t="str">
        <f t="shared" si="0"/>
        <v>"posteo":("posteo"," REAL"),</v>
      </c>
    </row>
    <row r="24" spans="1:15" x14ac:dyDescent="0.25">
      <c r="A24" t="s">
        <v>98</v>
      </c>
      <c r="B24" t="s">
        <v>38</v>
      </c>
      <c r="C24" t="s">
        <v>98</v>
      </c>
      <c r="D24" t="s">
        <v>99</v>
      </c>
      <c r="E24" t="s">
        <v>103</v>
      </c>
      <c r="F24" t="s">
        <v>98</v>
      </c>
      <c r="G24" t="s">
        <v>38</v>
      </c>
      <c r="H24" t="s">
        <v>98</v>
      </c>
      <c r="I24" t="s">
        <v>100</v>
      </c>
      <c r="J24" t="s">
        <v>98</v>
      </c>
      <c r="K24" t="s">
        <v>107</v>
      </c>
      <c r="L24" t="s">
        <v>98</v>
      </c>
      <c r="M24" t="s">
        <v>102</v>
      </c>
      <c r="N24" t="s">
        <v>100</v>
      </c>
      <c r="O24" t="str">
        <f t="shared" si="0"/>
        <v>"orden":("orden"," REAL"),</v>
      </c>
    </row>
    <row r="25" spans="1:15" x14ac:dyDescent="0.25">
      <c r="A25" t="s">
        <v>98</v>
      </c>
      <c r="B25" t="s">
        <v>17</v>
      </c>
      <c r="C25" t="s">
        <v>98</v>
      </c>
      <c r="D25" t="s">
        <v>99</v>
      </c>
      <c r="E25" t="s">
        <v>103</v>
      </c>
      <c r="F25" t="s">
        <v>98</v>
      </c>
      <c r="G25" t="s">
        <v>17</v>
      </c>
      <c r="H25" t="s">
        <v>98</v>
      </c>
      <c r="I25" t="s">
        <v>100</v>
      </c>
      <c r="J25" t="s">
        <v>98</v>
      </c>
      <c r="K25" t="s">
        <v>104</v>
      </c>
      <c r="L25" t="s">
        <v>98</v>
      </c>
      <c r="M25" t="s">
        <v>102</v>
      </c>
      <c r="N25" t="s">
        <v>100</v>
      </c>
      <c r="O25" t="str">
        <f t="shared" si="0"/>
        <v>"comision":("comision"," TEXT"),</v>
      </c>
    </row>
    <row r="26" spans="1:15" x14ac:dyDescent="0.25">
      <c r="A26" t="s">
        <v>98</v>
      </c>
      <c r="B26" t="s">
        <v>39</v>
      </c>
      <c r="C26" t="s">
        <v>98</v>
      </c>
      <c r="D26" t="s">
        <v>99</v>
      </c>
      <c r="E26" t="s">
        <v>103</v>
      </c>
      <c r="F26" t="s">
        <v>98</v>
      </c>
      <c r="G26" t="s">
        <v>39</v>
      </c>
      <c r="H26" t="s">
        <v>98</v>
      </c>
      <c r="I26" t="s">
        <v>100</v>
      </c>
      <c r="J26" t="s">
        <v>98</v>
      </c>
      <c r="K26" t="s">
        <v>107</v>
      </c>
      <c r="L26" t="s">
        <v>98</v>
      </c>
      <c r="M26" t="s">
        <v>102</v>
      </c>
      <c r="N26" t="s">
        <v>100</v>
      </c>
      <c r="O26" t="str">
        <f t="shared" si="0"/>
        <v>"oferta":("oferta"," REAL"),</v>
      </c>
    </row>
    <row r="27" spans="1:15" x14ac:dyDescent="0.25">
      <c r="A27" t="s">
        <v>98</v>
      </c>
      <c r="B27" t="s">
        <v>40</v>
      </c>
      <c r="C27" t="s">
        <v>98</v>
      </c>
      <c r="D27" t="s">
        <v>99</v>
      </c>
      <c r="E27" t="s">
        <v>103</v>
      </c>
      <c r="F27" t="s">
        <v>98</v>
      </c>
      <c r="G27" t="s">
        <v>40</v>
      </c>
      <c r="H27" t="s">
        <v>98</v>
      </c>
      <c r="I27" t="s">
        <v>100</v>
      </c>
      <c r="J27" t="s">
        <v>98</v>
      </c>
      <c r="K27" t="s">
        <v>107</v>
      </c>
      <c r="L27" t="s">
        <v>98</v>
      </c>
      <c r="M27" t="s">
        <v>102</v>
      </c>
      <c r="N27" t="s">
        <v>100</v>
      </c>
      <c r="O27" t="str">
        <f t="shared" si="0"/>
        <v>"montodesc1":("montodesc1"," REAL"),</v>
      </c>
    </row>
    <row r="28" spans="1:15" x14ac:dyDescent="0.25">
      <c r="A28" t="s">
        <v>98</v>
      </c>
      <c r="B28" t="s">
        <v>15</v>
      </c>
      <c r="C28" t="s">
        <v>98</v>
      </c>
      <c r="D28" t="s">
        <v>99</v>
      </c>
      <c r="E28" t="s">
        <v>103</v>
      </c>
      <c r="F28" t="s">
        <v>98</v>
      </c>
      <c r="G28" t="s">
        <v>15</v>
      </c>
      <c r="H28" t="s">
        <v>98</v>
      </c>
      <c r="I28" t="s">
        <v>100</v>
      </c>
      <c r="J28" t="s">
        <v>98</v>
      </c>
      <c r="K28" t="s">
        <v>104</v>
      </c>
      <c r="L28" t="s">
        <v>98</v>
      </c>
      <c r="M28" t="s">
        <v>102</v>
      </c>
      <c r="N28" t="s">
        <v>100</v>
      </c>
      <c r="O28" t="str">
        <f t="shared" si="0"/>
        <v>"promotor":("promotor"," TEXT"),</v>
      </c>
    </row>
    <row r="29" spans="1:15" x14ac:dyDescent="0.25">
      <c r="A29" t="s">
        <v>98</v>
      </c>
      <c r="B29" t="s">
        <v>25</v>
      </c>
      <c r="C29" t="s">
        <v>98</v>
      </c>
      <c r="D29" t="s">
        <v>99</v>
      </c>
      <c r="E29" t="s">
        <v>103</v>
      </c>
      <c r="F29" t="s">
        <v>98</v>
      </c>
      <c r="G29" t="s">
        <v>25</v>
      </c>
      <c r="H29" t="s">
        <v>98</v>
      </c>
      <c r="I29" t="s">
        <v>100</v>
      </c>
      <c r="J29" t="s">
        <v>98</v>
      </c>
      <c r="K29" t="s">
        <v>104</v>
      </c>
      <c r="L29" t="s">
        <v>98</v>
      </c>
      <c r="M29" t="s">
        <v>102</v>
      </c>
      <c r="N29" t="s">
        <v>100</v>
      </c>
      <c r="O29" t="str">
        <f t="shared" si="0"/>
        <v>"ordenp":("ordenp"," TEXT"),</v>
      </c>
    </row>
    <row r="30" spans="1:15" x14ac:dyDescent="0.25">
      <c r="A30" t="s">
        <v>98</v>
      </c>
      <c r="B30" t="s">
        <v>41</v>
      </c>
      <c r="C30" t="s">
        <v>98</v>
      </c>
      <c r="D30" t="s">
        <v>99</v>
      </c>
      <c r="E30" t="s">
        <v>103</v>
      </c>
      <c r="F30" t="s">
        <v>98</v>
      </c>
      <c r="G30" t="s">
        <v>41</v>
      </c>
      <c r="H30" t="s">
        <v>98</v>
      </c>
      <c r="I30" t="s">
        <v>100</v>
      </c>
      <c r="J30" t="s">
        <v>98</v>
      </c>
      <c r="K30" t="s">
        <v>104</v>
      </c>
      <c r="L30" t="s">
        <v>98</v>
      </c>
      <c r="M30" t="s">
        <v>102</v>
      </c>
      <c r="N30" t="s">
        <v>100</v>
      </c>
      <c r="O30" t="str">
        <f t="shared" si="0"/>
        <v>"ficha":("ficha"," TEXT"),</v>
      </c>
    </row>
    <row r="31" spans="1:15" x14ac:dyDescent="0.25">
      <c r="A31" t="s">
        <v>98</v>
      </c>
      <c r="B31" t="s">
        <v>42</v>
      </c>
      <c r="C31" t="s">
        <v>98</v>
      </c>
      <c r="D31" t="s">
        <v>99</v>
      </c>
      <c r="E31" t="s">
        <v>103</v>
      </c>
      <c r="F31" t="s">
        <v>98</v>
      </c>
      <c r="G31" t="s">
        <v>42</v>
      </c>
      <c r="H31" t="s">
        <v>98</v>
      </c>
      <c r="I31" t="s">
        <v>100</v>
      </c>
      <c r="J31" t="s">
        <v>98</v>
      </c>
      <c r="K31" t="s">
        <v>104</v>
      </c>
      <c r="L31" t="s">
        <v>98</v>
      </c>
      <c r="M31" t="s">
        <v>102</v>
      </c>
      <c r="N31" t="s">
        <v>100</v>
      </c>
      <c r="O31" t="str">
        <f t="shared" si="0"/>
        <v>"ficha1":("ficha1"," TEXT"),</v>
      </c>
    </row>
    <row r="32" spans="1:15" x14ac:dyDescent="0.25">
      <c r="A32" t="s">
        <v>98</v>
      </c>
      <c r="B32" t="s">
        <v>43</v>
      </c>
      <c r="C32" t="s">
        <v>98</v>
      </c>
      <c r="D32" t="s">
        <v>99</v>
      </c>
      <c r="E32" t="s">
        <v>103</v>
      </c>
      <c r="F32" t="s">
        <v>98</v>
      </c>
      <c r="G32" t="s">
        <v>43</v>
      </c>
      <c r="H32" t="s">
        <v>98</v>
      </c>
      <c r="I32" t="s">
        <v>100</v>
      </c>
      <c r="J32" t="s">
        <v>98</v>
      </c>
      <c r="K32" t="s">
        <v>107</v>
      </c>
      <c r="L32" t="s">
        <v>98</v>
      </c>
      <c r="M32" t="s">
        <v>102</v>
      </c>
      <c r="N32" t="s">
        <v>100</v>
      </c>
      <c r="O32" t="str">
        <f t="shared" si="0"/>
        <v>"precio2":("precio2"," REAL"),</v>
      </c>
    </row>
    <row r="33" spans="1:15" x14ac:dyDescent="0.25">
      <c r="A33" t="s">
        <v>98</v>
      </c>
      <c r="B33" t="s">
        <v>44</v>
      </c>
      <c r="C33" t="s">
        <v>98</v>
      </c>
      <c r="D33" t="s">
        <v>99</v>
      </c>
      <c r="E33" t="s">
        <v>103</v>
      </c>
      <c r="F33" t="s">
        <v>98</v>
      </c>
      <c r="G33" t="s">
        <v>44</v>
      </c>
      <c r="H33" t="s">
        <v>98</v>
      </c>
      <c r="I33" t="s">
        <v>100</v>
      </c>
      <c r="J33" t="s">
        <v>98</v>
      </c>
      <c r="K33" t="s">
        <v>107</v>
      </c>
      <c r="L33" t="s">
        <v>98</v>
      </c>
      <c r="M33" t="s">
        <v>102</v>
      </c>
      <c r="N33" t="s">
        <v>100</v>
      </c>
      <c r="O33" t="str">
        <f t="shared" si="0"/>
        <v>"precio3":("precio3"," REAL"),</v>
      </c>
    </row>
    <row r="34" spans="1:15" x14ac:dyDescent="0.25">
      <c r="A34" t="s">
        <v>98</v>
      </c>
      <c r="B34" t="s">
        <v>45</v>
      </c>
      <c r="C34" t="s">
        <v>98</v>
      </c>
      <c r="D34" t="s">
        <v>99</v>
      </c>
      <c r="E34" t="s">
        <v>103</v>
      </c>
      <c r="F34" t="s">
        <v>98</v>
      </c>
      <c r="G34" t="s">
        <v>45</v>
      </c>
      <c r="H34" t="s">
        <v>98</v>
      </c>
      <c r="I34" t="s">
        <v>100</v>
      </c>
      <c r="J34" t="s">
        <v>98</v>
      </c>
      <c r="K34" t="s">
        <v>107</v>
      </c>
      <c r="L34" t="s">
        <v>98</v>
      </c>
      <c r="M34" t="s">
        <v>102</v>
      </c>
      <c r="N34" t="s">
        <v>100</v>
      </c>
      <c r="O34" t="str">
        <f t="shared" si="0"/>
        <v>"precio4":("precio4"," REAL"),</v>
      </c>
    </row>
    <row r="35" spans="1:15" x14ac:dyDescent="0.25">
      <c r="A35" t="s">
        <v>98</v>
      </c>
      <c r="B35" t="s">
        <v>16</v>
      </c>
      <c r="C35" t="s">
        <v>98</v>
      </c>
      <c r="D35" t="s">
        <v>99</v>
      </c>
      <c r="E35" t="s">
        <v>103</v>
      </c>
      <c r="F35" t="s">
        <v>98</v>
      </c>
      <c r="G35" t="s">
        <v>16</v>
      </c>
      <c r="H35" t="s">
        <v>98</v>
      </c>
      <c r="I35" t="s">
        <v>100</v>
      </c>
      <c r="J35" t="s">
        <v>98</v>
      </c>
      <c r="K35" t="s">
        <v>104</v>
      </c>
      <c r="L35" t="s">
        <v>98</v>
      </c>
      <c r="M35" t="s">
        <v>102</v>
      </c>
      <c r="N35" t="s">
        <v>100</v>
      </c>
      <c r="O35" t="str">
        <f t="shared" si="0"/>
        <v>"almacen1":("almacen1"," TEXT"),</v>
      </c>
    </row>
    <row r="36" spans="1:15" x14ac:dyDescent="0.25">
      <c r="A36" t="s">
        <v>98</v>
      </c>
      <c r="B36" t="s">
        <v>46</v>
      </c>
      <c r="C36" t="s">
        <v>98</v>
      </c>
      <c r="D36" t="s">
        <v>99</v>
      </c>
      <c r="E36" t="s">
        <v>103</v>
      </c>
      <c r="F36" t="s">
        <v>98</v>
      </c>
      <c r="G36" t="s">
        <v>46</v>
      </c>
      <c r="H36" t="s">
        <v>98</v>
      </c>
      <c r="I36" t="s">
        <v>100</v>
      </c>
      <c r="J36" t="s">
        <v>98</v>
      </c>
      <c r="K36" t="s">
        <v>107</v>
      </c>
      <c r="L36" t="s">
        <v>98</v>
      </c>
      <c r="M36" t="s">
        <v>102</v>
      </c>
      <c r="N36" t="s">
        <v>100</v>
      </c>
      <c r="O36" t="str">
        <f t="shared" si="0"/>
        <v>"costop":("costop"," REAL"),</v>
      </c>
    </row>
    <row r="37" spans="1:15" x14ac:dyDescent="0.25">
      <c r="A37" t="s">
        <v>98</v>
      </c>
      <c r="B37" t="s">
        <v>47</v>
      </c>
      <c r="C37" t="s">
        <v>98</v>
      </c>
      <c r="D37" t="s">
        <v>99</v>
      </c>
      <c r="E37" t="s">
        <v>103</v>
      </c>
      <c r="F37" t="s">
        <v>98</v>
      </c>
      <c r="G37" t="s">
        <v>47</v>
      </c>
      <c r="H37" t="s">
        <v>98</v>
      </c>
      <c r="I37" t="s">
        <v>100</v>
      </c>
      <c r="J37" t="s">
        <v>98</v>
      </c>
      <c r="K37" t="s">
        <v>104</v>
      </c>
      <c r="L37" t="s">
        <v>98</v>
      </c>
      <c r="M37" t="s">
        <v>102</v>
      </c>
      <c r="N37" t="s">
        <v>100</v>
      </c>
      <c r="O37" t="str">
        <f t="shared" si="0"/>
        <v>"serial":("serial"," TEXT"),</v>
      </c>
    </row>
    <row r="38" spans="1:15" x14ac:dyDescent="0.25">
      <c r="A38" t="s">
        <v>98</v>
      </c>
      <c r="B38" t="s">
        <v>48</v>
      </c>
      <c r="C38" t="s">
        <v>98</v>
      </c>
      <c r="D38" t="s">
        <v>99</v>
      </c>
      <c r="E38" t="s">
        <v>103</v>
      </c>
      <c r="F38" t="s">
        <v>98</v>
      </c>
      <c r="G38" t="s">
        <v>48</v>
      </c>
      <c r="H38" t="s">
        <v>98</v>
      </c>
      <c r="I38" t="s">
        <v>100</v>
      </c>
      <c r="J38" t="s">
        <v>98</v>
      </c>
      <c r="K38" t="s">
        <v>107</v>
      </c>
      <c r="L38" t="s">
        <v>98</v>
      </c>
      <c r="M38" t="s">
        <v>102</v>
      </c>
      <c r="N38" t="s">
        <v>100</v>
      </c>
      <c r="O38" t="str">
        <f t="shared" si="0"/>
        <v>"costopro":("costopro"," REAL"),</v>
      </c>
    </row>
    <row r="39" spans="1:15" x14ac:dyDescent="0.25">
      <c r="A39" t="s">
        <v>98</v>
      </c>
      <c r="B39" t="s">
        <v>49</v>
      </c>
      <c r="C39" t="s">
        <v>98</v>
      </c>
      <c r="D39" t="s">
        <v>99</v>
      </c>
      <c r="E39" t="s">
        <v>103</v>
      </c>
      <c r="F39" t="s">
        <v>98</v>
      </c>
      <c r="G39" t="s">
        <v>49</v>
      </c>
      <c r="H39" t="s">
        <v>98</v>
      </c>
      <c r="I39" t="s">
        <v>100</v>
      </c>
      <c r="J39" t="s">
        <v>98</v>
      </c>
      <c r="K39" t="s">
        <v>104</v>
      </c>
      <c r="L39" t="s">
        <v>98</v>
      </c>
      <c r="M39" t="s">
        <v>102</v>
      </c>
      <c r="N39" t="s">
        <v>100</v>
      </c>
      <c r="O39" t="str">
        <f t="shared" si="0"/>
        <v>"doferta":("doferta"," TEXT"),</v>
      </c>
    </row>
    <row r="40" spans="1:15" x14ac:dyDescent="0.25">
      <c r="A40" t="s">
        <v>98</v>
      </c>
      <c r="B40" t="s">
        <v>50</v>
      </c>
      <c r="C40" t="s">
        <v>98</v>
      </c>
      <c r="D40" t="s">
        <v>99</v>
      </c>
      <c r="E40" t="s">
        <v>103</v>
      </c>
      <c r="F40" t="s">
        <v>98</v>
      </c>
      <c r="G40" t="s">
        <v>50</v>
      </c>
      <c r="H40" t="s">
        <v>98</v>
      </c>
      <c r="I40" t="s">
        <v>100</v>
      </c>
      <c r="J40" t="s">
        <v>98</v>
      </c>
      <c r="K40" t="s">
        <v>107</v>
      </c>
      <c r="L40" t="s">
        <v>98</v>
      </c>
      <c r="M40" t="s">
        <v>102</v>
      </c>
      <c r="N40" t="s">
        <v>100</v>
      </c>
      <c r="O40" t="str">
        <f t="shared" si="0"/>
        <v>"mangafin":("mangafin"," REAL"),</v>
      </c>
    </row>
    <row r="41" spans="1:15" x14ac:dyDescent="0.25">
      <c r="A41" t="s">
        <v>98</v>
      </c>
      <c r="B41" t="s">
        <v>51</v>
      </c>
      <c r="C41" t="s">
        <v>98</v>
      </c>
      <c r="D41" t="s">
        <v>99</v>
      </c>
      <c r="E41" t="s">
        <v>103</v>
      </c>
      <c r="F41" t="s">
        <v>98</v>
      </c>
      <c r="G41" t="s">
        <v>51</v>
      </c>
      <c r="H41" t="s">
        <v>98</v>
      </c>
      <c r="I41" t="s">
        <v>100</v>
      </c>
      <c r="J41" t="s">
        <v>98</v>
      </c>
      <c r="K41" t="s">
        <v>107</v>
      </c>
      <c r="L41" t="s">
        <v>98</v>
      </c>
      <c r="M41" t="s">
        <v>102</v>
      </c>
      <c r="N41" t="s">
        <v>100</v>
      </c>
      <c r="O41" t="str">
        <f t="shared" si="0"/>
        <v>"mangaini":("mangaini"," REAL"),</v>
      </c>
    </row>
    <row r="42" spans="1:15" x14ac:dyDescent="0.25">
      <c r="A42" t="s">
        <v>98</v>
      </c>
      <c r="B42" t="s">
        <v>52</v>
      </c>
      <c r="C42" t="s">
        <v>98</v>
      </c>
      <c r="D42" t="s">
        <v>99</v>
      </c>
      <c r="E42" t="s">
        <v>103</v>
      </c>
      <c r="F42" t="s">
        <v>98</v>
      </c>
      <c r="G42" t="s">
        <v>52</v>
      </c>
      <c r="H42" t="s">
        <v>98</v>
      </c>
      <c r="I42" t="s">
        <v>100</v>
      </c>
      <c r="J42" t="s">
        <v>98</v>
      </c>
      <c r="K42" t="s">
        <v>107</v>
      </c>
      <c r="L42" t="s">
        <v>98</v>
      </c>
      <c r="M42" t="s">
        <v>102</v>
      </c>
      <c r="N42" t="s">
        <v>100</v>
      </c>
      <c r="O42" t="str">
        <f t="shared" si="0"/>
        <v>"cantidad1":("cantidad1"," REAL"),</v>
      </c>
    </row>
    <row r="43" spans="1:15" x14ac:dyDescent="0.25">
      <c r="A43" t="s">
        <v>98</v>
      </c>
      <c r="B43" t="s">
        <v>19</v>
      </c>
      <c r="C43" t="s">
        <v>98</v>
      </c>
      <c r="D43" t="s">
        <v>99</v>
      </c>
      <c r="E43" t="s">
        <v>103</v>
      </c>
      <c r="F43" t="s">
        <v>98</v>
      </c>
      <c r="G43" t="s">
        <v>19</v>
      </c>
      <c r="H43" t="s">
        <v>98</v>
      </c>
      <c r="I43" t="s">
        <v>100</v>
      </c>
      <c r="J43" t="s">
        <v>98</v>
      </c>
      <c r="K43" t="s">
        <v>107</v>
      </c>
      <c r="L43" t="s">
        <v>98</v>
      </c>
      <c r="M43" t="s">
        <v>102</v>
      </c>
      <c r="N43" t="s">
        <v>100</v>
      </c>
      <c r="O43" t="str">
        <f t="shared" si="0"/>
        <v>"cnttransa":("cnttransa"," REAL"),</v>
      </c>
    </row>
    <row r="44" spans="1:15" x14ac:dyDescent="0.25">
      <c r="A44" t="s">
        <v>98</v>
      </c>
      <c r="B44" t="s">
        <v>53</v>
      </c>
      <c r="C44" t="s">
        <v>98</v>
      </c>
      <c r="D44" t="s">
        <v>99</v>
      </c>
      <c r="E44" t="s">
        <v>103</v>
      </c>
      <c r="F44" t="s">
        <v>98</v>
      </c>
      <c r="G44" t="s">
        <v>53</v>
      </c>
      <c r="H44" t="s">
        <v>98</v>
      </c>
      <c r="I44" t="s">
        <v>100</v>
      </c>
      <c r="J44" t="s">
        <v>98</v>
      </c>
      <c r="K44" t="s">
        <v>104</v>
      </c>
      <c r="L44" t="s">
        <v>98</v>
      </c>
      <c r="M44" t="s">
        <v>102</v>
      </c>
      <c r="N44" t="s">
        <v>100</v>
      </c>
      <c r="O44" t="str">
        <f t="shared" si="0"/>
        <v>"presentacion":("presentacion"," TEXT"),</v>
      </c>
    </row>
    <row r="45" spans="1:15" x14ac:dyDescent="0.25">
      <c r="A45" t="s">
        <v>98</v>
      </c>
      <c r="B45" t="s">
        <v>18</v>
      </c>
      <c r="C45" t="s">
        <v>98</v>
      </c>
      <c r="D45" t="s">
        <v>99</v>
      </c>
      <c r="E45" t="s">
        <v>103</v>
      </c>
      <c r="F45" t="s">
        <v>98</v>
      </c>
      <c r="G45" t="s">
        <v>18</v>
      </c>
      <c r="H45" t="s">
        <v>98</v>
      </c>
      <c r="I45" t="s">
        <v>100</v>
      </c>
      <c r="J45" t="s">
        <v>98</v>
      </c>
      <c r="K45" t="s">
        <v>104</v>
      </c>
      <c r="L45" t="s">
        <v>98</v>
      </c>
      <c r="M45" t="s">
        <v>102</v>
      </c>
      <c r="N45" t="s">
        <v>100</v>
      </c>
      <c r="O45" t="str">
        <f t="shared" si="0"/>
        <v>"sucursal1":("sucursal1"," TEXT"),</v>
      </c>
    </row>
    <row r="46" spans="1:15" x14ac:dyDescent="0.25">
      <c r="A46" t="s">
        <v>98</v>
      </c>
      <c r="B46" t="s">
        <v>20</v>
      </c>
      <c r="C46" t="s">
        <v>98</v>
      </c>
      <c r="D46" t="s">
        <v>99</v>
      </c>
      <c r="E46" t="s">
        <v>103</v>
      </c>
      <c r="F46" t="s">
        <v>98</v>
      </c>
      <c r="G46" t="s">
        <v>20</v>
      </c>
      <c r="H46" t="s">
        <v>98</v>
      </c>
      <c r="I46" t="s">
        <v>100</v>
      </c>
      <c r="J46" t="s">
        <v>98</v>
      </c>
      <c r="K46" t="s">
        <v>104</v>
      </c>
      <c r="L46" t="s">
        <v>98</v>
      </c>
      <c r="M46" t="s">
        <v>102</v>
      </c>
      <c r="N46" t="s">
        <v>100</v>
      </c>
      <c r="O46" t="str">
        <f t="shared" si="0"/>
        <v>"idsucursal":("idsucursal"," TEXT"),</v>
      </c>
    </row>
    <row r="47" spans="1:15" x14ac:dyDescent="0.25">
      <c r="A47" t="s">
        <v>98</v>
      </c>
      <c r="B47" t="s">
        <v>54</v>
      </c>
      <c r="C47" t="s">
        <v>98</v>
      </c>
      <c r="D47" t="s">
        <v>99</v>
      </c>
      <c r="E47" t="s">
        <v>103</v>
      </c>
      <c r="F47" t="s">
        <v>98</v>
      </c>
      <c r="G47" t="s">
        <v>54</v>
      </c>
      <c r="H47" t="s">
        <v>98</v>
      </c>
      <c r="I47" t="s">
        <v>100</v>
      </c>
      <c r="J47" t="s">
        <v>98</v>
      </c>
      <c r="K47" t="s">
        <v>104</v>
      </c>
      <c r="L47" t="s">
        <v>98</v>
      </c>
      <c r="M47" t="s">
        <v>102</v>
      </c>
      <c r="N47" t="s">
        <v>100</v>
      </c>
      <c r="O47" t="str">
        <f t="shared" si="0"/>
        <v>"unidad2":("unidad2"," TEXT"),</v>
      </c>
    </row>
    <row r="48" spans="1:15" x14ac:dyDescent="0.25">
      <c r="A48" t="s">
        <v>98</v>
      </c>
      <c r="B48" t="s">
        <v>55</v>
      </c>
      <c r="C48" t="s">
        <v>98</v>
      </c>
      <c r="D48" t="s">
        <v>99</v>
      </c>
      <c r="E48" t="s">
        <v>103</v>
      </c>
      <c r="F48" t="s">
        <v>98</v>
      </c>
      <c r="G48" t="s">
        <v>55</v>
      </c>
      <c r="H48" t="s">
        <v>98</v>
      </c>
      <c r="I48" t="s">
        <v>100</v>
      </c>
      <c r="J48" t="s">
        <v>98</v>
      </c>
      <c r="K48" t="s">
        <v>107</v>
      </c>
      <c r="L48" t="s">
        <v>98</v>
      </c>
      <c r="M48" t="s">
        <v>102</v>
      </c>
      <c r="N48" t="s">
        <v>100</v>
      </c>
      <c r="O48" t="str">
        <f t="shared" si="0"/>
        <v>"cantUnidad":("cantUnidad"," REAL"),</v>
      </c>
    </row>
    <row r="49" spans="1:15" x14ac:dyDescent="0.25">
      <c r="A49" t="s">
        <v>98</v>
      </c>
      <c r="B49" t="s">
        <v>56</v>
      </c>
      <c r="C49" t="s">
        <v>98</v>
      </c>
      <c r="D49" t="s">
        <v>99</v>
      </c>
      <c r="E49" t="s">
        <v>103</v>
      </c>
      <c r="F49" t="s">
        <v>98</v>
      </c>
      <c r="G49" t="s">
        <v>56</v>
      </c>
      <c r="H49" t="s">
        <v>98</v>
      </c>
      <c r="I49" t="s">
        <v>100</v>
      </c>
      <c r="J49" t="s">
        <v>98</v>
      </c>
      <c r="K49" t="s">
        <v>107</v>
      </c>
      <c r="L49" t="s">
        <v>98</v>
      </c>
      <c r="M49" t="s">
        <v>102</v>
      </c>
      <c r="N49" t="s">
        <v>100</v>
      </c>
      <c r="O49" t="str">
        <f t="shared" si="0"/>
        <v>"cantidad2":("cantidad2"," REAL"),</v>
      </c>
    </row>
    <row r="50" spans="1:15" x14ac:dyDescent="0.25">
      <c r="A50" t="s">
        <v>98</v>
      </c>
      <c r="B50" t="s">
        <v>57</v>
      </c>
      <c r="C50" t="s">
        <v>98</v>
      </c>
      <c r="D50" t="s">
        <v>99</v>
      </c>
      <c r="E50" t="s">
        <v>103</v>
      </c>
      <c r="F50" t="s">
        <v>98</v>
      </c>
      <c r="G50" t="s">
        <v>57</v>
      </c>
      <c r="H50" t="s">
        <v>98</v>
      </c>
      <c r="I50" t="s">
        <v>100</v>
      </c>
      <c r="J50" t="s">
        <v>98</v>
      </c>
      <c r="K50" t="s">
        <v>105</v>
      </c>
      <c r="L50" t="s">
        <v>98</v>
      </c>
      <c r="M50" t="s">
        <v>102</v>
      </c>
      <c r="N50" t="s">
        <v>100</v>
      </c>
      <c r="O50" t="str">
        <f t="shared" si="0"/>
        <v>"idunidadp":("idunidadp"," INTEGER"),</v>
      </c>
    </row>
    <row r="51" spans="1:15" x14ac:dyDescent="0.25">
      <c r="A51" t="s">
        <v>98</v>
      </c>
      <c r="B51" t="s">
        <v>22</v>
      </c>
      <c r="C51" t="s">
        <v>98</v>
      </c>
      <c r="D51" t="s">
        <v>99</v>
      </c>
      <c r="E51" t="s">
        <v>103</v>
      </c>
      <c r="F51" t="s">
        <v>98</v>
      </c>
      <c r="G51" t="s">
        <v>22</v>
      </c>
      <c r="H51" t="s">
        <v>98</v>
      </c>
      <c r="I51" t="s">
        <v>100</v>
      </c>
      <c r="J51" t="s">
        <v>98</v>
      </c>
      <c r="K51" t="s">
        <v>104</v>
      </c>
      <c r="L51" t="s">
        <v>98</v>
      </c>
      <c r="M51" t="s">
        <v>102</v>
      </c>
      <c r="N51" t="s">
        <v>100</v>
      </c>
      <c r="O51" t="str">
        <f t="shared" si="0"/>
        <v>"clasifica2":("clasifica2"," TEXT"),</v>
      </c>
    </row>
    <row r="52" spans="1:15" x14ac:dyDescent="0.25">
      <c r="A52" t="s">
        <v>98</v>
      </c>
      <c r="B52" t="s">
        <v>21</v>
      </c>
      <c r="C52" t="s">
        <v>98</v>
      </c>
      <c r="D52" t="s">
        <v>99</v>
      </c>
      <c r="E52" t="s">
        <v>103</v>
      </c>
      <c r="F52" t="s">
        <v>98</v>
      </c>
      <c r="G52" t="s">
        <v>21</v>
      </c>
      <c r="H52" t="s">
        <v>98</v>
      </c>
      <c r="I52" t="s">
        <v>100</v>
      </c>
      <c r="J52" t="s">
        <v>98</v>
      </c>
      <c r="K52" t="s">
        <v>107</v>
      </c>
      <c r="L52" t="s">
        <v>98</v>
      </c>
      <c r="M52" t="s">
        <v>102</v>
      </c>
      <c r="N52" t="s">
        <v>100</v>
      </c>
      <c r="O52" t="str">
        <f t="shared" si="0"/>
        <v>"tasa":("tasa"," REAL"),</v>
      </c>
    </row>
    <row r="53" spans="1:15" x14ac:dyDescent="0.25">
      <c r="A53" t="s">
        <v>98</v>
      </c>
      <c r="B53" t="s">
        <v>58</v>
      </c>
      <c r="C53" t="s">
        <v>98</v>
      </c>
      <c r="D53" t="s">
        <v>99</v>
      </c>
      <c r="E53" t="s">
        <v>103</v>
      </c>
      <c r="F53" t="s">
        <v>98</v>
      </c>
      <c r="G53" t="s">
        <v>58</v>
      </c>
      <c r="H53" t="s">
        <v>98</v>
      </c>
      <c r="I53" t="s">
        <v>100</v>
      </c>
      <c r="J53" t="s">
        <v>98</v>
      </c>
      <c r="K53" t="s">
        <v>105</v>
      </c>
      <c r="L53" t="s">
        <v>98</v>
      </c>
      <c r="M53" t="s">
        <v>102</v>
      </c>
      <c r="N53" t="s">
        <v>100</v>
      </c>
      <c r="O53" t="str">
        <f t="shared" si="0"/>
        <v>"nivelprecio":("nivelprecio"," INTEGER"),</v>
      </c>
    </row>
    <row r="54" spans="1:15" x14ac:dyDescent="0.25">
      <c r="A54" t="s">
        <v>98</v>
      </c>
      <c r="B54" t="s">
        <v>59</v>
      </c>
      <c r="C54" t="s">
        <v>98</v>
      </c>
      <c r="D54" t="s">
        <v>99</v>
      </c>
      <c r="E54" t="s">
        <v>103</v>
      </c>
      <c r="F54" t="s">
        <v>98</v>
      </c>
      <c r="G54" t="s">
        <v>59</v>
      </c>
      <c r="H54" t="s">
        <v>98</v>
      </c>
      <c r="I54" t="s">
        <v>100</v>
      </c>
      <c r="J54" t="s">
        <v>98</v>
      </c>
      <c r="K54" t="s">
        <v>105</v>
      </c>
      <c r="L54" t="s">
        <v>98</v>
      </c>
      <c r="M54" t="s">
        <v>102</v>
      </c>
      <c r="N54" t="s">
        <v>100</v>
      </c>
      <c r="O54" t="str">
        <f t="shared" si="0"/>
        <v>"ptodescuento":("ptodescuento"," INTEGER"),</v>
      </c>
    </row>
    <row r="55" spans="1:15" x14ac:dyDescent="0.25">
      <c r="A55" t="s">
        <v>98</v>
      </c>
      <c r="B55" t="s">
        <v>60</v>
      </c>
      <c r="C55" t="s">
        <v>98</v>
      </c>
      <c r="D55" t="s">
        <v>99</v>
      </c>
      <c r="E55" t="s">
        <v>103</v>
      </c>
      <c r="F55" t="s">
        <v>98</v>
      </c>
      <c r="G55" t="s">
        <v>60</v>
      </c>
      <c r="H55" t="s">
        <v>98</v>
      </c>
      <c r="I55" t="s">
        <v>100</v>
      </c>
      <c r="J55" t="s">
        <v>98</v>
      </c>
      <c r="K55" t="s">
        <v>104</v>
      </c>
      <c r="L55" t="s">
        <v>98</v>
      </c>
      <c r="M55" t="s">
        <v>102</v>
      </c>
      <c r="N55" t="s">
        <v>100</v>
      </c>
      <c r="O55" t="str">
        <f t="shared" si="0"/>
        <v>"almacen2":("almacen2"," TEXT"),</v>
      </c>
    </row>
    <row r="56" spans="1:15" x14ac:dyDescent="0.25">
      <c r="A56" t="s">
        <v>98</v>
      </c>
      <c r="B56" t="s">
        <v>61</v>
      </c>
      <c r="C56" t="s">
        <v>98</v>
      </c>
      <c r="D56" t="s">
        <v>99</v>
      </c>
      <c r="E56" t="s">
        <v>103</v>
      </c>
      <c r="F56" t="s">
        <v>98</v>
      </c>
      <c r="G56" t="s">
        <v>61</v>
      </c>
      <c r="H56" t="s">
        <v>98</v>
      </c>
      <c r="I56" t="s">
        <v>100</v>
      </c>
      <c r="J56" t="s">
        <v>98</v>
      </c>
      <c r="K56" t="s">
        <v>106</v>
      </c>
      <c r="L56" t="s">
        <v>98</v>
      </c>
      <c r="M56" t="s">
        <v>102</v>
      </c>
      <c r="N56" t="s">
        <v>100</v>
      </c>
      <c r="O56" t="str">
        <f t="shared" si="0"/>
        <v>"Digitado":("Digitado"," DATETIME"),</v>
      </c>
    </row>
    <row r="57" spans="1:15" x14ac:dyDescent="0.25">
      <c r="A57" t="s">
        <v>98</v>
      </c>
      <c r="B57" t="s">
        <v>8</v>
      </c>
      <c r="C57" t="s">
        <v>98</v>
      </c>
      <c r="D57" t="s">
        <v>99</v>
      </c>
      <c r="E57" t="s">
        <v>103</v>
      </c>
      <c r="F57" t="s">
        <v>98</v>
      </c>
      <c r="G57" t="s">
        <v>8</v>
      </c>
      <c r="H57" t="s">
        <v>98</v>
      </c>
      <c r="I57" t="s">
        <v>100</v>
      </c>
      <c r="J57" t="s">
        <v>98</v>
      </c>
      <c r="K57" t="s">
        <v>107</v>
      </c>
      <c r="L57" t="s">
        <v>98</v>
      </c>
      <c r="M57" t="s">
        <v>102</v>
      </c>
      <c r="N57" t="s">
        <v>100</v>
      </c>
      <c r="O57" t="str">
        <f t="shared" si="0"/>
        <v>"flete":("flete"," REAL"),</v>
      </c>
    </row>
    <row r="58" spans="1:15" x14ac:dyDescent="0.25">
      <c r="A58" t="s">
        <v>98</v>
      </c>
      <c r="B58" t="s">
        <v>62</v>
      </c>
      <c r="C58" t="s">
        <v>98</v>
      </c>
      <c r="D58" t="s">
        <v>99</v>
      </c>
      <c r="E58" t="s">
        <v>103</v>
      </c>
      <c r="F58" t="s">
        <v>98</v>
      </c>
      <c r="G58" t="s">
        <v>62</v>
      </c>
      <c r="H58" t="s">
        <v>98</v>
      </c>
      <c r="I58" t="s">
        <v>100</v>
      </c>
      <c r="J58" t="s">
        <v>98</v>
      </c>
      <c r="K58" t="s">
        <v>107</v>
      </c>
      <c r="L58" t="s">
        <v>98</v>
      </c>
      <c r="M58" t="s">
        <v>102</v>
      </c>
      <c r="N58" t="s">
        <v>100</v>
      </c>
      <c r="O58" t="str">
        <f t="shared" si="0"/>
        <v>"comision1":("comision1"," REAL"),</v>
      </c>
    </row>
    <row r="59" spans="1:15" x14ac:dyDescent="0.25">
      <c r="A59" t="s">
        <v>98</v>
      </c>
      <c r="B59" t="s">
        <v>23</v>
      </c>
      <c r="C59" t="s">
        <v>98</v>
      </c>
      <c r="D59" t="s">
        <v>99</v>
      </c>
      <c r="E59" t="s">
        <v>103</v>
      </c>
      <c r="F59" t="s">
        <v>98</v>
      </c>
      <c r="G59" t="s">
        <v>23</v>
      </c>
      <c r="H59" t="s">
        <v>98</v>
      </c>
      <c r="I59" t="s">
        <v>100</v>
      </c>
      <c r="J59" t="s">
        <v>98</v>
      </c>
      <c r="K59" t="s">
        <v>107</v>
      </c>
      <c r="L59" t="s">
        <v>98</v>
      </c>
      <c r="M59" t="s">
        <v>102</v>
      </c>
      <c r="N59" t="s">
        <v>100</v>
      </c>
      <c r="O59" t="str">
        <f t="shared" si="0"/>
        <v>"Arancel":("Arancel"," REAL"),</v>
      </c>
    </row>
    <row r="60" spans="1:15" x14ac:dyDescent="0.25">
      <c r="A60" t="s">
        <v>98</v>
      </c>
      <c r="B60" t="s">
        <v>24</v>
      </c>
      <c r="C60" t="s">
        <v>98</v>
      </c>
      <c r="D60" t="s">
        <v>99</v>
      </c>
      <c r="E60" t="s">
        <v>103</v>
      </c>
      <c r="F60" t="s">
        <v>98</v>
      </c>
      <c r="G60" t="s">
        <v>24</v>
      </c>
      <c r="H60" t="s">
        <v>98</v>
      </c>
      <c r="I60" t="s">
        <v>100</v>
      </c>
      <c r="J60" t="s">
        <v>98</v>
      </c>
      <c r="K60" t="s">
        <v>107</v>
      </c>
      <c r="L60" t="s">
        <v>98</v>
      </c>
      <c r="M60" t="s">
        <v>102</v>
      </c>
      <c r="N60" t="s">
        <v>100</v>
      </c>
      <c r="O60" t="str">
        <f t="shared" si="0"/>
        <v>"gasto1":("gasto1"," REAL"),</v>
      </c>
    </row>
    <row r="61" spans="1:15" x14ac:dyDescent="0.25">
      <c r="A61" t="s">
        <v>98</v>
      </c>
      <c r="B61" t="s">
        <v>63</v>
      </c>
      <c r="C61" t="s">
        <v>98</v>
      </c>
      <c r="D61" t="s">
        <v>99</v>
      </c>
      <c r="E61" t="s">
        <v>103</v>
      </c>
      <c r="F61" t="s">
        <v>98</v>
      </c>
      <c r="G61" t="s">
        <v>63</v>
      </c>
      <c r="H61" t="s">
        <v>98</v>
      </c>
      <c r="I61" t="s">
        <v>100</v>
      </c>
      <c r="J61" t="s">
        <v>98</v>
      </c>
      <c r="K61" t="s">
        <v>107</v>
      </c>
      <c r="L61" t="s">
        <v>98</v>
      </c>
      <c r="M61" t="s">
        <v>102</v>
      </c>
      <c r="N61" t="s">
        <v>100</v>
      </c>
      <c r="O61" t="str">
        <f t="shared" si="0"/>
        <v>"gasto2":("gasto2"," REAL"),</v>
      </c>
    </row>
    <row r="62" spans="1:15" x14ac:dyDescent="0.25">
      <c r="A62" t="s">
        <v>98</v>
      </c>
      <c r="B62" t="s">
        <v>64</v>
      </c>
      <c r="C62" t="s">
        <v>98</v>
      </c>
      <c r="D62" t="s">
        <v>99</v>
      </c>
      <c r="E62" t="s">
        <v>103</v>
      </c>
      <c r="F62" t="s">
        <v>98</v>
      </c>
      <c r="G62" t="s">
        <v>64</v>
      </c>
      <c r="H62" t="s">
        <v>98</v>
      </c>
      <c r="I62" t="s">
        <v>100</v>
      </c>
      <c r="J62" t="s">
        <v>98</v>
      </c>
      <c r="K62" t="s">
        <v>107</v>
      </c>
      <c r="L62" t="s">
        <v>98</v>
      </c>
      <c r="M62" t="s">
        <v>102</v>
      </c>
      <c r="N62" t="s">
        <v>100</v>
      </c>
      <c r="O62" t="str">
        <f t="shared" si="0"/>
        <v>"preciot1":("preciot1"," REAL"),</v>
      </c>
    </row>
    <row r="63" spans="1:15" x14ac:dyDescent="0.25">
      <c r="A63" t="s">
        <v>98</v>
      </c>
      <c r="B63" t="s">
        <v>65</v>
      </c>
      <c r="C63" t="s">
        <v>98</v>
      </c>
      <c r="D63" t="s">
        <v>99</v>
      </c>
      <c r="E63" t="s">
        <v>103</v>
      </c>
      <c r="F63" t="s">
        <v>98</v>
      </c>
      <c r="G63" t="s">
        <v>65</v>
      </c>
      <c r="H63" t="s">
        <v>98</v>
      </c>
      <c r="I63" t="s">
        <v>100</v>
      </c>
      <c r="J63" t="s">
        <v>98</v>
      </c>
      <c r="K63" t="s">
        <v>107</v>
      </c>
      <c r="L63" t="s">
        <v>98</v>
      </c>
      <c r="M63" t="s">
        <v>102</v>
      </c>
      <c r="N63" t="s">
        <v>100</v>
      </c>
      <c r="O63" t="str">
        <f t="shared" si="0"/>
        <v>"preciot2":("preciot2"," REAL"),</v>
      </c>
    </row>
    <row r="64" spans="1:15" x14ac:dyDescent="0.25">
      <c r="A64" t="s">
        <v>98</v>
      </c>
      <c r="B64" t="s">
        <v>66</v>
      </c>
      <c r="C64" t="s">
        <v>98</v>
      </c>
      <c r="D64" t="s">
        <v>99</v>
      </c>
      <c r="E64" t="s">
        <v>103</v>
      </c>
      <c r="F64" t="s">
        <v>98</v>
      </c>
      <c r="G64" t="s">
        <v>66</v>
      </c>
      <c r="H64" t="s">
        <v>98</v>
      </c>
      <c r="I64" t="s">
        <v>100</v>
      </c>
      <c r="J64" t="s">
        <v>98</v>
      </c>
      <c r="K64" t="s">
        <v>107</v>
      </c>
      <c r="L64" t="s">
        <v>98</v>
      </c>
      <c r="M64" t="s">
        <v>102</v>
      </c>
      <c r="N64" t="s">
        <v>100</v>
      </c>
      <c r="O64" t="str">
        <f t="shared" si="0"/>
        <v>"preciot3":("preciot3"," REAL"),</v>
      </c>
    </row>
    <row r="65" spans="1:15" x14ac:dyDescent="0.25">
      <c r="A65" t="s">
        <v>98</v>
      </c>
      <c r="B65" t="s">
        <v>67</v>
      </c>
      <c r="C65" t="s">
        <v>98</v>
      </c>
      <c r="D65" t="s">
        <v>99</v>
      </c>
      <c r="E65" t="s">
        <v>103</v>
      </c>
      <c r="F65" t="s">
        <v>98</v>
      </c>
      <c r="G65" t="s">
        <v>67</v>
      </c>
      <c r="H65" t="s">
        <v>98</v>
      </c>
      <c r="I65" t="s">
        <v>100</v>
      </c>
      <c r="J65" t="s">
        <v>98</v>
      </c>
      <c r="K65" t="s">
        <v>107</v>
      </c>
      <c r="L65" t="s">
        <v>98</v>
      </c>
      <c r="M65" t="s">
        <v>102</v>
      </c>
      <c r="N65" t="s">
        <v>100</v>
      </c>
      <c r="O65" t="str">
        <f t="shared" si="0"/>
        <v>"preciot4":("preciot4"," REAL"),</v>
      </c>
    </row>
    <row r="66" spans="1:15" x14ac:dyDescent="0.25">
      <c r="A66" t="s">
        <v>98</v>
      </c>
      <c r="B66" t="s">
        <v>26</v>
      </c>
      <c r="C66" t="s">
        <v>98</v>
      </c>
      <c r="D66" t="s">
        <v>99</v>
      </c>
      <c r="E66" t="s">
        <v>103</v>
      </c>
      <c r="F66" t="s">
        <v>98</v>
      </c>
      <c r="G66" t="s">
        <v>26</v>
      </c>
      <c r="H66" t="s">
        <v>98</v>
      </c>
      <c r="I66" t="s">
        <v>100</v>
      </c>
      <c r="J66" t="s">
        <v>98</v>
      </c>
      <c r="K66" t="s">
        <v>104</v>
      </c>
      <c r="L66" t="s">
        <v>98</v>
      </c>
      <c r="M66" t="s">
        <v>102</v>
      </c>
      <c r="N66" t="s">
        <v>100</v>
      </c>
      <c r="O66" t="str">
        <f t="shared" ref="O66:O97" si="1">_xlfn.CONCAT(A66:N66)</f>
        <v>"movimiento":("movimiento"," TEXT"),</v>
      </c>
    </row>
    <row r="67" spans="1:15" x14ac:dyDescent="0.25">
      <c r="A67" t="s">
        <v>98</v>
      </c>
      <c r="B67" t="s">
        <v>68</v>
      </c>
      <c r="C67" t="s">
        <v>98</v>
      </c>
      <c r="D67" t="s">
        <v>99</v>
      </c>
      <c r="E67" t="s">
        <v>103</v>
      </c>
      <c r="F67" t="s">
        <v>98</v>
      </c>
      <c r="G67" t="s">
        <v>68</v>
      </c>
      <c r="H67" t="s">
        <v>98</v>
      </c>
      <c r="I67" t="s">
        <v>100</v>
      </c>
      <c r="J67" t="s">
        <v>98</v>
      </c>
      <c r="K67" t="s">
        <v>104</v>
      </c>
      <c r="L67" t="s">
        <v>98</v>
      </c>
      <c r="M67" t="s">
        <v>102</v>
      </c>
      <c r="N67" t="s">
        <v>100</v>
      </c>
      <c r="O67" t="str">
        <f t="shared" si="1"/>
        <v>"municipio":("municipio"," TEXT"),</v>
      </c>
    </row>
    <row r="68" spans="1:15" x14ac:dyDescent="0.25">
      <c r="A68" t="s">
        <v>98</v>
      </c>
      <c r="B68" t="s">
        <v>69</v>
      </c>
      <c r="C68" t="s">
        <v>98</v>
      </c>
      <c r="D68" t="s">
        <v>99</v>
      </c>
      <c r="E68" t="s">
        <v>103</v>
      </c>
      <c r="F68" t="s">
        <v>98</v>
      </c>
      <c r="G68" t="s">
        <v>69</v>
      </c>
      <c r="H68" t="s">
        <v>98</v>
      </c>
      <c r="I68" t="s">
        <v>100</v>
      </c>
      <c r="J68" t="s">
        <v>98</v>
      </c>
      <c r="K68" t="s">
        <v>107</v>
      </c>
      <c r="L68" t="s">
        <v>98</v>
      </c>
      <c r="M68" t="s">
        <v>102</v>
      </c>
      <c r="N68" t="s">
        <v>100</v>
      </c>
      <c r="O68" t="str">
        <f t="shared" si="1"/>
        <v>"retorno":("retorno"," REAL"),</v>
      </c>
    </row>
    <row r="69" spans="1:15" x14ac:dyDescent="0.25">
      <c r="A69" t="s">
        <v>98</v>
      </c>
      <c r="B69" t="s">
        <v>70</v>
      </c>
      <c r="C69" t="s">
        <v>98</v>
      </c>
      <c r="D69" t="s">
        <v>99</v>
      </c>
      <c r="E69" t="s">
        <v>103</v>
      </c>
      <c r="F69" t="s">
        <v>98</v>
      </c>
      <c r="G69" t="s">
        <v>70</v>
      </c>
      <c r="H69" t="s">
        <v>98</v>
      </c>
      <c r="I69" t="s">
        <v>100</v>
      </c>
      <c r="J69" t="s">
        <v>98</v>
      </c>
      <c r="K69" t="s">
        <v>107</v>
      </c>
      <c r="L69" t="s">
        <v>98</v>
      </c>
      <c r="M69" t="s">
        <v>102</v>
      </c>
      <c r="N69" t="s">
        <v>100</v>
      </c>
      <c r="O69" t="str">
        <f t="shared" si="1"/>
        <v>"credito":("credito"," REAL"),</v>
      </c>
    </row>
    <row r="70" spans="1:15" x14ac:dyDescent="0.25">
      <c r="A70" t="s">
        <v>98</v>
      </c>
      <c r="B70" t="s">
        <v>71</v>
      </c>
      <c r="C70" t="s">
        <v>98</v>
      </c>
      <c r="D70" t="s">
        <v>99</v>
      </c>
      <c r="E70" t="s">
        <v>103</v>
      </c>
      <c r="F70" t="s">
        <v>98</v>
      </c>
      <c r="G70" t="s">
        <v>71</v>
      </c>
      <c r="H70" t="s">
        <v>98</v>
      </c>
      <c r="I70" t="s">
        <v>100</v>
      </c>
      <c r="J70" t="s">
        <v>98</v>
      </c>
      <c r="K70" t="s">
        <v>107</v>
      </c>
      <c r="L70" t="s">
        <v>98</v>
      </c>
      <c r="M70" t="s">
        <v>102</v>
      </c>
      <c r="N70" t="s">
        <v>100</v>
      </c>
      <c r="O70" t="str">
        <f t="shared" si="1"/>
        <v>"contado":("contado"," REAL"),</v>
      </c>
    </row>
    <row r="71" spans="1:15" x14ac:dyDescent="0.25">
      <c r="A71" t="s">
        <v>98</v>
      </c>
      <c r="B71" t="s">
        <v>14</v>
      </c>
      <c r="C71" t="s">
        <v>98</v>
      </c>
      <c r="D71" t="s">
        <v>99</v>
      </c>
      <c r="E71" t="s">
        <v>103</v>
      </c>
      <c r="F71" t="s">
        <v>98</v>
      </c>
      <c r="G71" t="s">
        <v>14</v>
      </c>
      <c r="H71" t="s">
        <v>98</v>
      </c>
      <c r="I71" t="s">
        <v>100</v>
      </c>
      <c r="J71" t="s">
        <v>98</v>
      </c>
      <c r="K71" t="s">
        <v>104</v>
      </c>
      <c r="L71" t="s">
        <v>98</v>
      </c>
      <c r="M71" t="s">
        <v>102</v>
      </c>
      <c r="N71" t="s">
        <v>100</v>
      </c>
      <c r="O71" t="str">
        <f t="shared" si="1"/>
        <v>"socio":("socio"," TEXT"),</v>
      </c>
    </row>
    <row r="72" spans="1:15" x14ac:dyDescent="0.25">
      <c r="A72" t="s">
        <v>98</v>
      </c>
      <c r="B72" t="s">
        <v>72</v>
      </c>
      <c r="C72" t="s">
        <v>98</v>
      </c>
      <c r="D72" t="s">
        <v>99</v>
      </c>
      <c r="E72" t="s">
        <v>103</v>
      </c>
      <c r="F72" t="s">
        <v>98</v>
      </c>
      <c r="G72" t="s">
        <v>72</v>
      </c>
      <c r="H72" t="s">
        <v>98</v>
      </c>
      <c r="I72" t="s">
        <v>100</v>
      </c>
      <c r="J72" t="s">
        <v>98</v>
      </c>
      <c r="K72" t="s">
        <v>107</v>
      </c>
      <c r="L72" t="s">
        <v>98</v>
      </c>
      <c r="M72" t="s">
        <v>102</v>
      </c>
      <c r="N72" t="s">
        <v>100</v>
      </c>
      <c r="O72" t="str">
        <f t="shared" si="1"/>
        <v>"costo1us":("costo1us"," REAL"),</v>
      </c>
    </row>
    <row r="73" spans="1:15" x14ac:dyDescent="0.25">
      <c r="A73" t="s">
        <v>98</v>
      </c>
      <c r="B73" t="s">
        <v>73</v>
      </c>
      <c r="C73" t="s">
        <v>98</v>
      </c>
      <c r="D73" t="s">
        <v>99</v>
      </c>
      <c r="E73" t="s">
        <v>103</v>
      </c>
      <c r="F73" t="s">
        <v>98</v>
      </c>
      <c r="G73" t="s">
        <v>73</v>
      </c>
      <c r="H73" t="s">
        <v>98</v>
      </c>
      <c r="I73" t="s">
        <v>100</v>
      </c>
      <c r="J73" t="s">
        <v>98</v>
      </c>
      <c r="K73" t="s">
        <v>104</v>
      </c>
      <c r="L73" t="s">
        <v>98</v>
      </c>
      <c r="M73" t="s">
        <v>102</v>
      </c>
      <c r="N73" t="s">
        <v>100</v>
      </c>
      <c r="O73" t="str">
        <f t="shared" si="1"/>
        <v>"suma":("suma"," TEXT"),</v>
      </c>
    </row>
    <row r="74" spans="1:15" x14ac:dyDescent="0.25">
      <c r="A74" t="s">
        <v>98</v>
      </c>
      <c r="B74" t="s">
        <v>74</v>
      </c>
      <c r="C74" t="s">
        <v>98</v>
      </c>
      <c r="D74" t="s">
        <v>99</v>
      </c>
      <c r="E74" t="s">
        <v>103</v>
      </c>
      <c r="F74" t="s">
        <v>98</v>
      </c>
      <c r="G74" t="s">
        <v>74</v>
      </c>
      <c r="H74" t="s">
        <v>98</v>
      </c>
      <c r="I74" t="s">
        <v>100</v>
      </c>
      <c r="J74" t="s">
        <v>98</v>
      </c>
      <c r="K74" t="s">
        <v>104</v>
      </c>
      <c r="L74" t="s">
        <v>98</v>
      </c>
      <c r="M74" t="s">
        <v>102</v>
      </c>
      <c r="N74" t="s">
        <v>100</v>
      </c>
      <c r="O74" t="str">
        <f t="shared" si="1"/>
        <v>"refe":("refe"," TEXT"),</v>
      </c>
    </row>
    <row r="75" spans="1:15" x14ac:dyDescent="0.25">
      <c r="A75" t="s">
        <v>98</v>
      </c>
      <c r="B75" t="s">
        <v>75</v>
      </c>
      <c r="C75" t="s">
        <v>98</v>
      </c>
      <c r="D75" t="s">
        <v>99</v>
      </c>
      <c r="E75" t="s">
        <v>103</v>
      </c>
      <c r="F75" t="s">
        <v>98</v>
      </c>
      <c r="G75" t="s">
        <v>75</v>
      </c>
      <c r="H75" t="s">
        <v>98</v>
      </c>
      <c r="I75" t="s">
        <v>100</v>
      </c>
      <c r="J75" t="s">
        <v>98</v>
      </c>
      <c r="K75" t="s">
        <v>107</v>
      </c>
      <c r="L75" t="s">
        <v>98</v>
      </c>
      <c r="M75" t="s">
        <v>102</v>
      </c>
      <c r="N75" t="s">
        <v>100</v>
      </c>
      <c r="O75" t="str">
        <f t="shared" si="1"/>
        <v>"monto3":("monto3"," REAL"),</v>
      </c>
    </row>
    <row r="76" spans="1:15" x14ac:dyDescent="0.25">
      <c r="A76" t="s">
        <v>98</v>
      </c>
      <c r="B76" t="s">
        <v>76</v>
      </c>
      <c r="C76" t="s">
        <v>98</v>
      </c>
      <c r="D76" t="s">
        <v>99</v>
      </c>
      <c r="E76" t="s">
        <v>103</v>
      </c>
      <c r="F76" t="s">
        <v>98</v>
      </c>
      <c r="G76" t="s">
        <v>76</v>
      </c>
      <c r="H76" t="s">
        <v>98</v>
      </c>
      <c r="I76" t="s">
        <v>100</v>
      </c>
      <c r="J76" t="s">
        <v>98</v>
      </c>
      <c r="K76" t="s">
        <v>106</v>
      </c>
      <c r="L76" t="s">
        <v>98</v>
      </c>
      <c r="M76" t="s">
        <v>102</v>
      </c>
      <c r="N76" t="s">
        <v>100</v>
      </c>
      <c r="O76" t="str">
        <f t="shared" si="1"/>
        <v>"fechahora":("fechahora"," DATETIME"),</v>
      </c>
    </row>
    <row r="77" spans="1:15" x14ac:dyDescent="0.25">
      <c r="A77" t="s">
        <v>98</v>
      </c>
      <c r="B77" t="s">
        <v>77</v>
      </c>
      <c r="C77" t="s">
        <v>98</v>
      </c>
      <c r="D77" t="s">
        <v>99</v>
      </c>
      <c r="E77" t="s">
        <v>103</v>
      </c>
      <c r="F77" t="s">
        <v>98</v>
      </c>
      <c r="G77" t="s">
        <v>77</v>
      </c>
      <c r="H77" t="s">
        <v>98</v>
      </c>
      <c r="I77" t="s">
        <v>100</v>
      </c>
      <c r="J77" t="s">
        <v>98</v>
      </c>
      <c r="K77" t="s">
        <v>104</v>
      </c>
      <c r="L77" t="s">
        <v>98</v>
      </c>
      <c r="M77" t="s">
        <v>102</v>
      </c>
      <c r="N77" t="s">
        <v>100</v>
      </c>
      <c r="O77" t="str">
        <f t="shared" si="1"/>
        <v>"TipoDoc":("TipoDoc"," TEXT"),</v>
      </c>
    </row>
    <row r="78" spans="1:15" x14ac:dyDescent="0.25">
      <c r="A78" t="s">
        <v>98</v>
      </c>
      <c r="B78" t="s">
        <v>78</v>
      </c>
      <c r="C78" t="s">
        <v>98</v>
      </c>
      <c r="D78" t="s">
        <v>99</v>
      </c>
      <c r="E78" t="s">
        <v>103</v>
      </c>
      <c r="F78" t="s">
        <v>98</v>
      </c>
      <c r="G78" t="s">
        <v>78</v>
      </c>
      <c r="H78" t="s">
        <v>98</v>
      </c>
      <c r="I78" t="s">
        <v>100</v>
      </c>
      <c r="J78" t="s">
        <v>98</v>
      </c>
      <c r="K78" t="s">
        <v>105</v>
      </c>
      <c r="L78" t="s">
        <v>98</v>
      </c>
      <c r="M78" t="s">
        <v>102</v>
      </c>
      <c r="N78" t="s">
        <v>100</v>
      </c>
      <c r="O78" t="str">
        <f t="shared" si="1"/>
        <v>"idN":("idN"," INTEGER"),</v>
      </c>
    </row>
    <row r="79" spans="1:15" x14ac:dyDescent="0.25">
      <c r="A79" t="s">
        <v>98</v>
      </c>
      <c r="B79" t="s">
        <v>79</v>
      </c>
      <c r="C79" t="s">
        <v>98</v>
      </c>
      <c r="D79" t="s">
        <v>99</v>
      </c>
      <c r="E79" t="s">
        <v>103</v>
      </c>
      <c r="F79" t="s">
        <v>98</v>
      </c>
      <c r="G79" t="s">
        <v>79</v>
      </c>
      <c r="H79" t="s">
        <v>98</v>
      </c>
      <c r="I79" t="s">
        <v>100</v>
      </c>
      <c r="J79" t="s">
        <v>98</v>
      </c>
      <c r="K79" t="s">
        <v>107</v>
      </c>
      <c r="L79" t="s">
        <v>98</v>
      </c>
      <c r="M79" t="s">
        <v>102</v>
      </c>
      <c r="N79" t="s">
        <v>100</v>
      </c>
      <c r="O79" t="str">
        <f t="shared" si="1"/>
        <v>"SubCantidad":("SubCantidad"," REAL"),</v>
      </c>
    </row>
    <row r="80" spans="1:15" x14ac:dyDescent="0.25">
      <c r="A80" t="s">
        <v>98</v>
      </c>
      <c r="B80" t="s">
        <v>80</v>
      </c>
      <c r="C80" t="s">
        <v>98</v>
      </c>
      <c r="D80" t="s">
        <v>99</v>
      </c>
      <c r="E80" t="s">
        <v>103</v>
      </c>
      <c r="F80" t="s">
        <v>98</v>
      </c>
      <c r="G80" t="s">
        <v>80</v>
      </c>
      <c r="H80" t="s">
        <v>98</v>
      </c>
      <c r="I80" t="s">
        <v>100</v>
      </c>
      <c r="J80" t="s">
        <v>98</v>
      </c>
      <c r="K80" t="s">
        <v>104</v>
      </c>
      <c r="L80" t="s">
        <v>98</v>
      </c>
      <c r="M80" t="s">
        <v>102</v>
      </c>
      <c r="N80" t="s">
        <v>100</v>
      </c>
      <c r="O80" t="str">
        <f t="shared" si="1"/>
        <v>"CodigoSubCantidad":("CodigoSubCantidad"," TEXT"),</v>
      </c>
    </row>
    <row r="81" spans="1:15" x14ac:dyDescent="0.25">
      <c r="A81" t="s">
        <v>98</v>
      </c>
      <c r="B81" t="s">
        <v>81</v>
      </c>
      <c r="C81" t="s">
        <v>98</v>
      </c>
      <c r="D81" t="s">
        <v>99</v>
      </c>
      <c r="E81" t="s">
        <v>103</v>
      </c>
      <c r="F81" t="s">
        <v>98</v>
      </c>
      <c r="G81" t="s">
        <v>81</v>
      </c>
      <c r="H81" t="s">
        <v>98</v>
      </c>
      <c r="I81" t="s">
        <v>100</v>
      </c>
      <c r="J81" t="s">
        <v>98</v>
      </c>
      <c r="K81" t="s">
        <v>104</v>
      </c>
      <c r="L81" t="s">
        <v>98</v>
      </c>
      <c r="M81" t="s">
        <v>102</v>
      </c>
      <c r="N81" t="s">
        <v>100</v>
      </c>
      <c r="O81" t="str">
        <f t="shared" si="1"/>
        <v>"GradosAlcohol":("GradosAlcohol"," TEXT"),</v>
      </c>
    </row>
    <row r="82" spans="1:15" x14ac:dyDescent="0.25">
      <c r="A82" t="s">
        <v>98</v>
      </c>
      <c r="B82" t="s">
        <v>82</v>
      </c>
      <c r="C82" t="s">
        <v>98</v>
      </c>
      <c r="D82" t="s">
        <v>99</v>
      </c>
      <c r="E82" t="s">
        <v>103</v>
      </c>
      <c r="F82" t="s">
        <v>98</v>
      </c>
      <c r="G82" t="s">
        <v>82</v>
      </c>
      <c r="H82" t="s">
        <v>98</v>
      </c>
      <c r="I82" t="s">
        <v>100</v>
      </c>
      <c r="J82" t="s">
        <v>98</v>
      </c>
      <c r="K82" t="s">
        <v>107</v>
      </c>
      <c r="L82" t="s">
        <v>98</v>
      </c>
      <c r="M82" t="s">
        <v>102</v>
      </c>
      <c r="N82" t="s">
        <v>100</v>
      </c>
      <c r="O82" t="str">
        <f t="shared" si="1"/>
        <v>"PrecioUnitarioReferencia":("PrecioUnitarioReferencia"," REAL"),</v>
      </c>
    </row>
    <row r="83" spans="1:15" x14ac:dyDescent="0.25">
      <c r="A83" t="s">
        <v>98</v>
      </c>
      <c r="B83" t="s">
        <v>83</v>
      </c>
      <c r="C83" t="s">
        <v>98</v>
      </c>
      <c r="D83" t="s">
        <v>99</v>
      </c>
      <c r="E83" t="s">
        <v>103</v>
      </c>
      <c r="F83" t="s">
        <v>98</v>
      </c>
      <c r="G83" t="s">
        <v>83</v>
      </c>
      <c r="H83" t="s">
        <v>98</v>
      </c>
      <c r="I83" t="s">
        <v>100</v>
      </c>
      <c r="J83" t="s">
        <v>98</v>
      </c>
      <c r="K83" t="s">
        <v>104</v>
      </c>
      <c r="L83" t="s">
        <v>98</v>
      </c>
      <c r="M83" t="s">
        <v>102</v>
      </c>
      <c r="N83" t="s">
        <v>100</v>
      </c>
      <c r="O83" t="str">
        <f t="shared" si="1"/>
        <v>"TipoImpuesto1":("TipoImpuesto1"," TEXT"),</v>
      </c>
    </row>
    <row r="84" spans="1:15" x14ac:dyDescent="0.25">
      <c r="A84" t="s">
        <v>98</v>
      </c>
      <c r="B84" t="s">
        <v>84</v>
      </c>
      <c r="C84" t="s">
        <v>98</v>
      </c>
      <c r="D84" t="s">
        <v>99</v>
      </c>
      <c r="E84" t="s">
        <v>103</v>
      </c>
      <c r="F84" t="s">
        <v>98</v>
      </c>
      <c r="G84" t="s">
        <v>84</v>
      </c>
      <c r="H84" t="s">
        <v>98</v>
      </c>
      <c r="I84" t="s">
        <v>100</v>
      </c>
      <c r="J84" t="s">
        <v>98</v>
      </c>
      <c r="K84" t="s">
        <v>104</v>
      </c>
      <c r="L84" t="s">
        <v>98</v>
      </c>
      <c r="M84" t="s">
        <v>102</v>
      </c>
      <c r="N84" t="s">
        <v>100</v>
      </c>
      <c r="O84" t="str">
        <f t="shared" si="1"/>
        <v>"TipoImpuesto2":("TipoImpuesto2"," TEXT"),</v>
      </c>
    </row>
    <row r="85" spans="1:15" x14ac:dyDescent="0.25">
      <c r="A85" t="s">
        <v>98</v>
      </c>
      <c r="B85" t="s">
        <v>85</v>
      </c>
      <c r="C85" t="s">
        <v>98</v>
      </c>
      <c r="D85" t="s">
        <v>99</v>
      </c>
      <c r="E85" t="s">
        <v>103</v>
      </c>
      <c r="F85" t="s">
        <v>98</v>
      </c>
      <c r="G85" t="s">
        <v>85</v>
      </c>
      <c r="H85" t="s">
        <v>98</v>
      </c>
      <c r="I85" t="s">
        <v>100</v>
      </c>
      <c r="J85" t="s">
        <v>98</v>
      </c>
      <c r="K85" t="s">
        <v>107</v>
      </c>
      <c r="L85" t="s">
        <v>98</v>
      </c>
      <c r="M85" t="s">
        <v>102</v>
      </c>
      <c r="N85" t="s">
        <v>100</v>
      </c>
      <c r="O85" t="str">
        <f t="shared" si="1"/>
        <v>"TasaImpuestoAdicional1":("TasaImpuestoAdicional1"," REAL"),</v>
      </c>
    </row>
    <row r="86" spans="1:15" x14ac:dyDescent="0.25">
      <c r="A86" t="s">
        <v>98</v>
      </c>
      <c r="B86" t="s">
        <v>86</v>
      </c>
      <c r="C86" t="s">
        <v>98</v>
      </c>
      <c r="D86" t="s">
        <v>99</v>
      </c>
      <c r="E86" t="s">
        <v>103</v>
      </c>
      <c r="F86" t="s">
        <v>98</v>
      </c>
      <c r="G86" t="s">
        <v>86</v>
      </c>
      <c r="H86" t="s">
        <v>98</v>
      </c>
      <c r="I86" t="s">
        <v>100</v>
      </c>
      <c r="J86" t="s">
        <v>98</v>
      </c>
      <c r="K86" t="s">
        <v>105</v>
      </c>
      <c r="L86" t="s">
        <v>98</v>
      </c>
      <c r="M86" t="s">
        <v>102</v>
      </c>
      <c r="N86" t="s">
        <v>100</v>
      </c>
      <c r="O86" t="str">
        <f t="shared" si="1"/>
        <v>"TasaImpuestoAdicional2":("TasaImpuestoAdicional2"," INTEGER"),</v>
      </c>
    </row>
    <row r="87" spans="1:15" x14ac:dyDescent="0.25">
      <c r="A87" t="s">
        <v>98</v>
      </c>
      <c r="B87" t="s">
        <v>87</v>
      </c>
      <c r="C87" t="s">
        <v>98</v>
      </c>
      <c r="D87" t="s">
        <v>99</v>
      </c>
      <c r="E87" t="s">
        <v>103</v>
      </c>
      <c r="F87" t="s">
        <v>98</v>
      </c>
      <c r="G87" t="s">
        <v>87</v>
      </c>
      <c r="H87" t="s">
        <v>98</v>
      </c>
      <c r="I87" t="s">
        <v>100</v>
      </c>
      <c r="J87" t="s">
        <v>98</v>
      </c>
      <c r="K87" t="s">
        <v>107</v>
      </c>
      <c r="L87" t="s">
        <v>98</v>
      </c>
      <c r="M87" t="s">
        <v>102</v>
      </c>
      <c r="N87" t="s">
        <v>100</v>
      </c>
      <c r="O87" t="str">
        <f t="shared" si="1"/>
        <v>"MontoImpuestoSelectivoConsumoEspe1":("MontoImpuestoSelectivoConsumoEspe1"," REAL"),</v>
      </c>
    </row>
    <row r="88" spans="1:15" x14ac:dyDescent="0.25">
      <c r="A88" t="s">
        <v>98</v>
      </c>
      <c r="B88" t="s">
        <v>88</v>
      </c>
      <c r="C88" t="s">
        <v>98</v>
      </c>
      <c r="D88" t="s">
        <v>99</v>
      </c>
      <c r="E88" t="s">
        <v>103</v>
      </c>
      <c r="F88" t="s">
        <v>98</v>
      </c>
      <c r="G88" t="s">
        <v>88</v>
      </c>
      <c r="H88" t="s">
        <v>98</v>
      </c>
      <c r="I88" t="s">
        <v>100</v>
      </c>
      <c r="J88" t="s">
        <v>98</v>
      </c>
      <c r="K88" t="s">
        <v>107</v>
      </c>
      <c r="L88" t="s">
        <v>98</v>
      </c>
      <c r="M88" t="s">
        <v>102</v>
      </c>
      <c r="N88" t="s">
        <v>100</v>
      </c>
      <c r="O88" t="str">
        <f t="shared" si="1"/>
        <v>"MontoImpuestoSelectivoConsumoEspe2":("MontoImpuestoSelectivoConsumoEspe2"," REAL"),</v>
      </c>
    </row>
    <row r="89" spans="1:15" x14ac:dyDescent="0.25">
      <c r="A89" t="s">
        <v>98</v>
      </c>
      <c r="B89" t="s">
        <v>89</v>
      </c>
      <c r="C89" t="s">
        <v>98</v>
      </c>
      <c r="D89" t="s">
        <v>99</v>
      </c>
      <c r="E89" t="s">
        <v>103</v>
      </c>
      <c r="F89" t="s">
        <v>98</v>
      </c>
      <c r="G89" t="s">
        <v>89</v>
      </c>
      <c r="H89" t="s">
        <v>98</v>
      </c>
      <c r="I89" t="s">
        <v>100</v>
      </c>
      <c r="J89" t="s">
        <v>98</v>
      </c>
      <c r="K89" t="s">
        <v>107</v>
      </c>
      <c r="L89" t="s">
        <v>98</v>
      </c>
      <c r="M89" t="s">
        <v>102</v>
      </c>
      <c r="N89" t="s">
        <v>100</v>
      </c>
      <c r="O89" t="str">
        <f t="shared" si="1"/>
        <v>"MontoImpuestoSelectivoConsumoAdvrem":("MontoImpuestoSelectivoConsumoAdvrem"," REAL"),</v>
      </c>
    </row>
    <row r="90" spans="1:15" x14ac:dyDescent="0.25">
      <c r="A90" t="s">
        <v>98</v>
      </c>
      <c r="B90" t="s">
        <v>90</v>
      </c>
      <c r="C90" t="s">
        <v>98</v>
      </c>
      <c r="D90" t="s">
        <v>99</v>
      </c>
      <c r="E90" t="s">
        <v>103</v>
      </c>
      <c r="F90" t="s">
        <v>98</v>
      </c>
      <c r="G90" t="s">
        <v>90</v>
      </c>
      <c r="H90" t="s">
        <v>98</v>
      </c>
      <c r="I90" t="s">
        <v>100</v>
      </c>
      <c r="J90" t="s">
        <v>98</v>
      </c>
      <c r="K90" t="s">
        <v>105</v>
      </c>
      <c r="L90" t="s">
        <v>98</v>
      </c>
      <c r="M90" t="s">
        <v>102</v>
      </c>
      <c r="N90" t="s">
        <v>100</v>
      </c>
      <c r="O90" t="str">
        <f t="shared" si="1"/>
        <v>"BienServicio":("BienServicio"," INTEGER"),</v>
      </c>
    </row>
    <row r="91" spans="1:15" x14ac:dyDescent="0.25">
      <c r="A91" t="s">
        <v>98</v>
      </c>
      <c r="B91" t="s">
        <v>91</v>
      </c>
      <c r="C91" t="s">
        <v>98</v>
      </c>
      <c r="D91" t="s">
        <v>99</v>
      </c>
      <c r="E91" t="s">
        <v>103</v>
      </c>
      <c r="F91" t="s">
        <v>98</v>
      </c>
      <c r="G91" t="s">
        <v>91</v>
      </c>
      <c r="H91" t="s">
        <v>98</v>
      </c>
      <c r="I91" t="s">
        <v>100</v>
      </c>
      <c r="J91" t="s">
        <v>98</v>
      </c>
      <c r="K91" t="s">
        <v>107</v>
      </c>
      <c r="L91" t="s">
        <v>98</v>
      </c>
      <c r="M91" t="s">
        <v>102</v>
      </c>
      <c r="N91" t="s">
        <v>100</v>
      </c>
      <c r="O91" t="str">
        <f t="shared" si="1"/>
        <v>"OtroImpuestosAdicionales1":("OtroImpuestosAdicionales1"," REAL"),</v>
      </c>
    </row>
    <row r="92" spans="1:15" x14ac:dyDescent="0.25">
      <c r="A92" t="s">
        <v>98</v>
      </c>
      <c r="B92" t="s">
        <v>92</v>
      </c>
      <c r="C92" t="s">
        <v>98</v>
      </c>
      <c r="D92" t="s">
        <v>99</v>
      </c>
      <c r="E92" t="s">
        <v>103</v>
      </c>
      <c r="F92" t="s">
        <v>98</v>
      </c>
      <c r="G92" t="s">
        <v>92</v>
      </c>
      <c r="H92" t="s">
        <v>98</v>
      </c>
      <c r="I92" t="s">
        <v>100</v>
      </c>
      <c r="J92" t="s">
        <v>98</v>
      </c>
      <c r="K92" t="s">
        <v>107</v>
      </c>
      <c r="L92" t="s">
        <v>98</v>
      </c>
      <c r="M92" t="s">
        <v>102</v>
      </c>
      <c r="N92" t="s">
        <v>100</v>
      </c>
      <c r="O92" t="str">
        <f t="shared" si="1"/>
        <v>"OtroImpuestosAdicionales2":("OtroImpuestosAdicionales2"," REAL"),</v>
      </c>
    </row>
    <row r="93" spans="1:15" x14ac:dyDescent="0.25">
      <c r="A93" t="s">
        <v>98</v>
      </c>
      <c r="B93" t="s">
        <v>93</v>
      </c>
      <c r="C93" t="s">
        <v>98</v>
      </c>
      <c r="D93" t="s">
        <v>99</v>
      </c>
      <c r="E93" t="s">
        <v>103</v>
      </c>
      <c r="F93" t="s">
        <v>98</v>
      </c>
      <c r="G93" t="s">
        <v>93</v>
      </c>
      <c r="H93" t="s">
        <v>98</v>
      </c>
      <c r="I93" t="s">
        <v>100</v>
      </c>
      <c r="J93" t="s">
        <v>98</v>
      </c>
      <c r="K93" t="s">
        <v>104</v>
      </c>
      <c r="L93" t="s">
        <v>98</v>
      </c>
      <c r="M93" t="s">
        <v>102</v>
      </c>
      <c r="N93" t="s">
        <v>100</v>
      </c>
      <c r="O93" t="str">
        <f t="shared" si="1"/>
        <v>"TipoSubRecargo":("TipoSubRecargo"," TEXT"),</v>
      </c>
    </row>
    <row r="94" spans="1:15" x14ac:dyDescent="0.25">
      <c r="A94" t="s">
        <v>98</v>
      </c>
      <c r="B94" t="s">
        <v>94</v>
      </c>
      <c r="C94" t="s">
        <v>98</v>
      </c>
      <c r="D94" t="s">
        <v>99</v>
      </c>
      <c r="E94" t="s">
        <v>103</v>
      </c>
      <c r="F94" t="s">
        <v>98</v>
      </c>
      <c r="G94" t="s">
        <v>94</v>
      </c>
      <c r="H94" t="s">
        <v>98</v>
      </c>
      <c r="I94" t="s">
        <v>100</v>
      </c>
      <c r="J94" t="s">
        <v>98</v>
      </c>
      <c r="K94" t="s">
        <v>107</v>
      </c>
      <c r="L94" t="s">
        <v>98</v>
      </c>
      <c r="M94" t="s">
        <v>102</v>
      </c>
      <c r="N94" t="s">
        <v>100</v>
      </c>
      <c r="O94" t="str">
        <f t="shared" si="1"/>
        <v>"MontoSubRecargo":("MontoSubRecargo"," REAL"),</v>
      </c>
    </row>
    <row r="95" spans="1:15" x14ac:dyDescent="0.25">
      <c r="A95" t="s">
        <v>98</v>
      </c>
      <c r="B95" t="s">
        <v>95</v>
      </c>
      <c r="C95" t="s">
        <v>98</v>
      </c>
      <c r="D95" t="s">
        <v>99</v>
      </c>
      <c r="E95" t="s">
        <v>103</v>
      </c>
      <c r="F95" t="s">
        <v>98</v>
      </c>
      <c r="G95" t="s">
        <v>95</v>
      </c>
      <c r="H95" t="s">
        <v>98</v>
      </c>
      <c r="I95" t="s">
        <v>100</v>
      </c>
      <c r="J95" t="s">
        <v>98</v>
      </c>
      <c r="K95" t="s">
        <v>104</v>
      </c>
      <c r="L95" t="s">
        <v>98</v>
      </c>
      <c r="M95" t="s">
        <v>102</v>
      </c>
      <c r="N95" t="s">
        <v>100</v>
      </c>
      <c r="O95" t="str">
        <f t="shared" si="1"/>
        <v>"TipoCodigo":("TipoCodigo"," TEXT"),</v>
      </c>
    </row>
    <row r="96" spans="1:15" x14ac:dyDescent="0.25">
      <c r="A96" t="s">
        <v>98</v>
      </c>
      <c r="B96" t="s">
        <v>96</v>
      </c>
      <c r="C96" t="s">
        <v>98</v>
      </c>
      <c r="D96" t="s">
        <v>99</v>
      </c>
      <c r="E96" t="s">
        <v>103</v>
      </c>
      <c r="F96" t="s">
        <v>98</v>
      </c>
      <c r="G96" t="s">
        <v>96</v>
      </c>
      <c r="H96" t="s">
        <v>98</v>
      </c>
      <c r="I96" t="s">
        <v>100</v>
      </c>
      <c r="J96" t="s">
        <v>98</v>
      </c>
      <c r="K96" t="s">
        <v>104</v>
      </c>
      <c r="L96" t="s">
        <v>98</v>
      </c>
      <c r="M96" t="s">
        <v>102</v>
      </c>
      <c r="N96" t="s">
        <v>100</v>
      </c>
      <c r="O96" t="str">
        <f t="shared" si="1"/>
        <v>"CodigoItem":("CodigoItem"," TEXT"),</v>
      </c>
    </row>
    <row r="97" spans="1:15" x14ac:dyDescent="0.25">
      <c r="A97" t="s">
        <v>98</v>
      </c>
      <c r="B97" t="s">
        <v>97</v>
      </c>
      <c r="C97" t="s">
        <v>98</v>
      </c>
      <c r="D97" t="s">
        <v>99</v>
      </c>
      <c r="E97" t="s">
        <v>103</v>
      </c>
      <c r="F97" t="s">
        <v>98</v>
      </c>
      <c r="G97" t="s">
        <v>97</v>
      </c>
      <c r="H97" t="s">
        <v>98</v>
      </c>
      <c r="I97" t="s">
        <v>100</v>
      </c>
      <c r="J97" t="s">
        <v>98</v>
      </c>
      <c r="K97" t="s">
        <v>104</v>
      </c>
      <c r="L97" t="s">
        <v>98</v>
      </c>
      <c r="M97" t="s">
        <v>102</v>
      </c>
      <c r="N97" t="s">
        <v>100</v>
      </c>
      <c r="O97" t="str">
        <f t="shared" si="1"/>
        <v>"DescripcionItem":("DescripcionItem"," TEXT"),</v>
      </c>
    </row>
  </sheetData>
  <phoneticPr fontId="1" type="noConversion"/>
  <pageMargins left="0.7" right="0.7" top="0.75" bottom="0.75" header="0.3" footer="0.3"/>
  <pageSetup paperSize="0" orientation="portrait" horizontalDpi="16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F75C-F639-4CD3-A2F1-1C9E8B88F8C1}">
  <dimension ref="A1:B152"/>
  <sheetViews>
    <sheetView topLeftCell="A131" workbookViewId="0">
      <selection activeCell="B131" sqref="B1:B1048576"/>
    </sheetView>
  </sheetViews>
  <sheetFormatPr baseColWidth="10" defaultRowHeight="15" x14ac:dyDescent="0.25"/>
  <cols>
    <col min="1" max="1" width="24.5703125" bestFit="1" customWidth="1"/>
  </cols>
  <sheetData>
    <row r="1" spans="1:2" x14ac:dyDescent="0.25">
      <c r="A1" t="s">
        <v>108</v>
      </c>
      <c r="B1" t="s">
        <v>105</v>
      </c>
    </row>
    <row r="2" spans="1:2" x14ac:dyDescent="0.25">
      <c r="A2" t="s">
        <v>109</v>
      </c>
      <c r="B2" t="s">
        <v>106</v>
      </c>
    </row>
    <row r="3" spans="1:2" x14ac:dyDescent="0.25">
      <c r="A3" t="s">
        <v>110</v>
      </c>
      <c r="B3" t="s">
        <v>104</v>
      </c>
    </row>
    <row r="4" spans="1:2" x14ac:dyDescent="0.25">
      <c r="A4" t="s">
        <v>111</v>
      </c>
      <c r="B4" t="s">
        <v>104</v>
      </c>
    </row>
    <row r="5" spans="1:2" x14ac:dyDescent="0.25">
      <c r="A5" t="s">
        <v>112</v>
      </c>
      <c r="B5" t="s">
        <v>104</v>
      </c>
    </row>
    <row r="6" spans="1:2" x14ac:dyDescent="0.25">
      <c r="A6" t="s">
        <v>113</v>
      </c>
      <c r="B6" t="s">
        <v>104</v>
      </c>
    </row>
    <row r="7" spans="1:2" x14ac:dyDescent="0.25">
      <c r="A7" t="s">
        <v>114</v>
      </c>
      <c r="B7" t="s">
        <v>104</v>
      </c>
    </row>
    <row r="8" spans="1:2" x14ac:dyDescent="0.25">
      <c r="A8" t="s">
        <v>115</v>
      </c>
      <c r="B8" t="s">
        <v>104</v>
      </c>
    </row>
    <row r="9" spans="1:2" x14ac:dyDescent="0.25">
      <c r="A9" t="s">
        <v>116</v>
      </c>
      <c r="B9" t="s">
        <v>104</v>
      </c>
    </row>
    <row r="10" spans="1:2" x14ac:dyDescent="0.25">
      <c r="A10" t="s">
        <v>117</v>
      </c>
      <c r="B10" t="s">
        <v>104</v>
      </c>
    </row>
    <row r="11" spans="1:2" x14ac:dyDescent="0.25">
      <c r="A11" t="s">
        <v>118</v>
      </c>
      <c r="B11" t="s">
        <v>104</v>
      </c>
    </row>
    <row r="12" spans="1:2" x14ac:dyDescent="0.25">
      <c r="A12" t="s">
        <v>119</v>
      </c>
      <c r="B12" t="s">
        <v>105</v>
      </c>
    </row>
    <row r="13" spans="1:2" x14ac:dyDescent="0.25">
      <c r="A13" t="s">
        <v>120</v>
      </c>
      <c r="B13" t="s">
        <v>105</v>
      </c>
    </row>
    <row r="14" spans="1:2" x14ac:dyDescent="0.25">
      <c r="A14" t="s">
        <v>121</v>
      </c>
      <c r="B14" t="s">
        <v>106</v>
      </c>
    </row>
    <row r="15" spans="1:2" x14ac:dyDescent="0.25">
      <c r="A15" t="s">
        <v>122</v>
      </c>
      <c r="B15" t="s">
        <v>106</v>
      </c>
    </row>
    <row r="16" spans="1:2" x14ac:dyDescent="0.25">
      <c r="A16" t="s">
        <v>123</v>
      </c>
      <c r="B16" t="s">
        <v>107</v>
      </c>
    </row>
    <row r="17" spans="1:2" x14ac:dyDescent="0.25">
      <c r="A17" t="s">
        <v>124</v>
      </c>
      <c r="B17" t="s">
        <v>106</v>
      </c>
    </row>
    <row r="18" spans="1:2" x14ac:dyDescent="0.25">
      <c r="A18" t="s">
        <v>125</v>
      </c>
      <c r="B18" t="s">
        <v>107</v>
      </c>
    </row>
    <row r="19" spans="1:2" x14ac:dyDescent="0.25">
      <c r="A19" t="s">
        <v>126</v>
      </c>
      <c r="B19" t="s">
        <v>107</v>
      </c>
    </row>
    <row r="20" spans="1:2" x14ac:dyDescent="0.25">
      <c r="A20" t="s">
        <v>127</v>
      </c>
      <c r="B20" t="s">
        <v>107</v>
      </c>
    </row>
    <row r="21" spans="1:2" x14ac:dyDescent="0.25">
      <c r="A21" t="s">
        <v>128</v>
      </c>
      <c r="B21" t="s">
        <v>107</v>
      </c>
    </row>
    <row r="22" spans="1:2" x14ac:dyDescent="0.25">
      <c r="A22" t="s">
        <v>129</v>
      </c>
      <c r="B22" t="s">
        <v>107</v>
      </c>
    </row>
    <row r="23" spans="1:2" x14ac:dyDescent="0.25">
      <c r="A23" t="s">
        <v>130</v>
      </c>
      <c r="B23" t="s">
        <v>107</v>
      </c>
    </row>
    <row r="24" spans="1:2" x14ac:dyDescent="0.25">
      <c r="A24" t="s">
        <v>131</v>
      </c>
      <c r="B24" t="s">
        <v>107</v>
      </c>
    </row>
    <row r="25" spans="1:2" x14ac:dyDescent="0.25">
      <c r="A25" t="s">
        <v>132</v>
      </c>
      <c r="B25" t="s">
        <v>107</v>
      </c>
    </row>
    <row r="26" spans="1:2" x14ac:dyDescent="0.25">
      <c r="A26" t="s">
        <v>133</v>
      </c>
      <c r="B26" t="s">
        <v>104</v>
      </c>
    </row>
    <row r="27" spans="1:2" x14ac:dyDescent="0.25">
      <c r="A27" t="s">
        <v>134</v>
      </c>
      <c r="B27" t="s">
        <v>104</v>
      </c>
    </row>
    <row r="28" spans="1:2" x14ac:dyDescent="0.25">
      <c r="A28" t="s">
        <v>135</v>
      </c>
      <c r="B28" t="s">
        <v>104</v>
      </c>
    </row>
    <row r="29" spans="1:2" x14ac:dyDescent="0.25">
      <c r="A29" t="s">
        <v>136</v>
      </c>
      <c r="B29" t="s">
        <v>104</v>
      </c>
    </row>
    <row r="30" spans="1:2" x14ac:dyDescent="0.25">
      <c r="A30" t="s">
        <v>137</v>
      </c>
      <c r="B30" t="s">
        <v>104</v>
      </c>
    </row>
    <row r="31" spans="1:2" x14ac:dyDescent="0.25">
      <c r="A31" t="s">
        <v>138</v>
      </c>
      <c r="B31" t="s">
        <v>104</v>
      </c>
    </row>
    <row r="32" spans="1:2" x14ac:dyDescent="0.25">
      <c r="A32" t="s">
        <v>139</v>
      </c>
      <c r="B32" t="s">
        <v>104</v>
      </c>
    </row>
    <row r="33" spans="1:2" x14ac:dyDescent="0.25">
      <c r="A33" t="s">
        <v>140</v>
      </c>
      <c r="B33" t="s">
        <v>104</v>
      </c>
    </row>
    <row r="34" spans="1:2" x14ac:dyDescent="0.25">
      <c r="A34" t="s">
        <v>141</v>
      </c>
      <c r="B34" t="s">
        <v>104</v>
      </c>
    </row>
    <row r="35" spans="1:2" x14ac:dyDescent="0.25">
      <c r="A35" t="s">
        <v>142</v>
      </c>
      <c r="B35" t="s">
        <v>104</v>
      </c>
    </row>
    <row r="36" spans="1:2" x14ac:dyDescent="0.25">
      <c r="A36" t="s">
        <v>143</v>
      </c>
      <c r="B36" t="s">
        <v>107</v>
      </c>
    </row>
    <row r="37" spans="1:2" x14ac:dyDescent="0.25">
      <c r="A37" t="s">
        <v>144</v>
      </c>
      <c r="B37" t="s">
        <v>107</v>
      </c>
    </row>
    <row r="38" spans="1:2" x14ac:dyDescent="0.25">
      <c r="A38" t="s">
        <v>145</v>
      </c>
      <c r="B38" t="s">
        <v>107</v>
      </c>
    </row>
    <row r="39" spans="1:2" x14ac:dyDescent="0.25">
      <c r="A39" t="s">
        <v>146</v>
      </c>
      <c r="B39" t="s">
        <v>107</v>
      </c>
    </row>
    <row r="40" spans="1:2" x14ac:dyDescent="0.25">
      <c r="A40" t="s">
        <v>147</v>
      </c>
      <c r="B40" t="s">
        <v>104</v>
      </c>
    </row>
    <row r="41" spans="1:2" x14ac:dyDescent="0.25">
      <c r="A41" t="s">
        <v>148</v>
      </c>
      <c r="B41" t="s">
        <v>104</v>
      </c>
    </row>
    <row r="42" spans="1:2" x14ac:dyDescent="0.25">
      <c r="A42" t="s">
        <v>149</v>
      </c>
      <c r="B42" t="s">
        <v>107</v>
      </c>
    </row>
    <row r="43" spans="1:2" x14ac:dyDescent="0.25">
      <c r="A43" t="s">
        <v>150</v>
      </c>
      <c r="B43" t="s">
        <v>104</v>
      </c>
    </row>
    <row r="44" spans="1:2" x14ac:dyDescent="0.25">
      <c r="A44" t="s">
        <v>151</v>
      </c>
      <c r="B44" t="s">
        <v>104</v>
      </c>
    </row>
    <row r="45" spans="1:2" x14ac:dyDescent="0.25">
      <c r="A45" t="s">
        <v>152</v>
      </c>
      <c r="B45" t="s">
        <v>104</v>
      </c>
    </row>
    <row r="46" spans="1:2" x14ac:dyDescent="0.25">
      <c r="A46" t="s">
        <v>153</v>
      </c>
      <c r="B46" t="s">
        <v>107</v>
      </c>
    </row>
    <row r="47" spans="1:2" x14ac:dyDescent="0.25">
      <c r="A47" t="s">
        <v>154</v>
      </c>
      <c r="B47" t="s">
        <v>104</v>
      </c>
    </row>
    <row r="48" spans="1:2" x14ac:dyDescent="0.25">
      <c r="A48" t="s">
        <v>155</v>
      </c>
      <c r="B48" t="s">
        <v>104</v>
      </c>
    </row>
    <row r="49" spans="1:2" x14ac:dyDescent="0.25">
      <c r="A49" t="s">
        <v>156</v>
      </c>
      <c r="B49" t="s">
        <v>104</v>
      </c>
    </row>
    <row r="50" spans="1:2" x14ac:dyDescent="0.25">
      <c r="A50" t="s">
        <v>157</v>
      </c>
      <c r="B50" t="s">
        <v>104</v>
      </c>
    </row>
    <row r="51" spans="1:2" x14ac:dyDescent="0.25">
      <c r="A51" t="s">
        <v>158</v>
      </c>
      <c r="B51" t="s">
        <v>104</v>
      </c>
    </row>
    <row r="52" spans="1:2" x14ac:dyDescent="0.25">
      <c r="A52" t="s">
        <v>159</v>
      </c>
      <c r="B52" t="s">
        <v>104</v>
      </c>
    </row>
    <row r="53" spans="1:2" x14ac:dyDescent="0.25">
      <c r="A53" t="s">
        <v>160</v>
      </c>
      <c r="B53" t="s">
        <v>104</v>
      </c>
    </row>
    <row r="54" spans="1:2" x14ac:dyDescent="0.25">
      <c r="A54" t="s">
        <v>161</v>
      </c>
      <c r="B54" t="s">
        <v>104</v>
      </c>
    </row>
    <row r="55" spans="1:2" x14ac:dyDescent="0.25">
      <c r="A55" t="s">
        <v>162</v>
      </c>
      <c r="B55" t="s">
        <v>104</v>
      </c>
    </row>
    <row r="56" spans="1:2" x14ac:dyDescent="0.25">
      <c r="A56" t="s">
        <v>163</v>
      </c>
      <c r="B56" t="s">
        <v>104</v>
      </c>
    </row>
    <row r="57" spans="1:2" x14ac:dyDescent="0.25">
      <c r="A57" t="s">
        <v>164</v>
      </c>
      <c r="B57" t="s">
        <v>104</v>
      </c>
    </row>
    <row r="58" spans="1:2" x14ac:dyDescent="0.25">
      <c r="A58" t="s">
        <v>165</v>
      </c>
      <c r="B58" t="s">
        <v>104</v>
      </c>
    </row>
    <row r="59" spans="1:2" x14ac:dyDescent="0.25">
      <c r="A59" t="s">
        <v>166</v>
      </c>
      <c r="B59" t="s">
        <v>104</v>
      </c>
    </row>
    <row r="60" spans="1:2" x14ac:dyDescent="0.25">
      <c r="A60" t="s">
        <v>167</v>
      </c>
      <c r="B60" t="s">
        <v>104</v>
      </c>
    </row>
    <row r="61" spans="1:2" x14ac:dyDescent="0.25">
      <c r="A61" t="s">
        <v>168</v>
      </c>
      <c r="B61" t="s">
        <v>104</v>
      </c>
    </row>
    <row r="62" spans="1:2" x14ac:dyDescent="0.25">
      <c r="A62" t="s">
        <v>169</v>
      </c>
      <c r="B62" t="s">
        <v>104</v>
      </c>
    </row>
    <row r="63" spans="1:2" x14ac:dyDescent="0.25">
      <c r="A63" t="s">
        <v>170</v>
      </c>
      <c r="B63" t="s">
        <v>104</v>
      </c>
    </row>
    <row r="64" spans="1:2" x14ac:dyDescent="0.25">
      <c r="A64" t="s">
        <v>171</v>
      </c>
      <c r="B64" t="s">
        <v>104</v>
      </c>
    </row>
    <row r="65" spans="1:2" x14ac:dyDescent="0.25">
      <c r="A65" t="s">
        <v>172</v>
      </c>
      <c r="B65" t="s">
        <v>104</v>
      </c>
    </row>
    <row r="66" spans="1:2" x14ac:dyDescent="0.25">
      <c r="A66" t="s">
        <v>173</v>
      </c>
      <c r="B66" t="s">
        <v>107</v>
      </c>
    </row>
    <row r="67" spans="1:2" x14ac:dyDescent="0.25">
      <c r="A67" t="s">
        <v>174</v>
      </c>
      <c r="B67" t="s">
        <v>104</v>
      </c>
    </row>
    <row r="68" spans="1:2" x14ac:dyDescent="0.25">
      <c r="A68" t="s">
        <v>175</v>
      </c>
      <c r="B68" t="s">
        <v>104</v>
      </c>
    </row>
    <row r="69" spans="1:2" x14ac:dyDescent="0.25">
      <c r="A69" t="s">
        <v>176</v>
      </c>
      <c r="B69" t="s">
        <v>107</v>
      </c>
    </row>
    <row r="70" spans="1:2" x14ac:dyDescent="0.25">
      <c r="A70" t="s">
        <v>177</v>
      </c>
      <c r="B70" t="s">
        <v>104</v>
      </c>
    </row>
    <row r="71" spans="1:2" x14ac:dyDescent="0.25">
      <c r="A71" t="s">
        <v>178</v>
      </c>
      <c r="B71" t="s">
        <v>107</v>
      </c>
    </row>
    <row r="72" spans="1:2" x14ac:dyDescent="0.25">
      <c r="A72" t="s">
        <v>179</v>
      </c>
      <c r="B72" t="s">
        <v>107</v>
      </c>
    </row>
    <row r="73" spans="1:2" x14ac:dyDescent="0.25">
      <c r="A73" t="s">
        <v>180</v>
      </c>
      <c r="B73" t="s">
        <v>104</v>
      </c>
    </row>
    <row r="74" spans="1:2" x14ac:dyDescent="0.25">
      <c r="A74" t="s">
        <v>181</v>
      </c>
      <c r="B74" t="s">
        <v>104</v>
      </c>
    </row>
    <row r="75" spans="1:2" x14ac:dyDescent="0.25">
      <c r="A75" t="s">
        <v>182</v>
      </c>
      <c r="B75" t="s">
        <v>104</v>
      </c>
    </row>
    <row r="76" spans="1:2" x14ac:dyDescent="0.25">
      <c r="A76" t="s">
        <v>183</v>
      </c>
      <c r="B76" t="s">
        <v>104</v>
      </c>
    </row>
    <row r="77" spans="1:2" x14ac:dyDescent="0.25">
      <c r="A77" t="s">
        <v>184</v>
      </c>
      <c r="B77" t="s">
        <v>104</v>
      </c>
    </row>
    <row r="78" spans="1:2" x14ac:dyDescent="0.25">
      <c r="A78" t="s">
        <v>185</v>
      </c>
      <c r="B78" t="s">
        <v>104</v>
      </c>
    </row>
    <row r="79" spans="1:2" x14ac:dyDescent="0.25">
      <c r="A79" t="s">
        <v>186</v>
      </c>
      <c r="B79" t="s">
        <v>107</v>
      </c>
    </row>
    <row r="80" spans="1:2" x14ac:dyDescent="0.25">
      <c r="A80" t="s">
        <v>187</v>
      </c>
      <c r="B80" t="s">
        <v>107</v>
      </c>
    </row>
    <row r="81" spans="1:2" x14ac:dyDescent="0.25">
      <c r="A81" t="s">
        <v>188</v>
      </c>
      <c r="B81" t="s">
        <v>107</v>
      </c>
    </row>
    <row r="82" spans="1:2" x14ac:dyDescent="0.25">
      <c r="A82" t="s">
        <v>189</v>
      </c>
      <c r="B82" t="s">
        <v>104</v>
      </c>
    </row>
    <row r="83" spans="1:2" x14ac:dyDescent="0.25">
      <c r="A83" t="s">
        <v>190</v>
      </c>
      <c r="B83" t="s">
        <v>104</v>
      </c>
    </row>
    <row r="84" spans="1:2" x14ac:dyDescent="0.25">
      <c r="A84" t="s">
        <v>191</v>
      </c>
      <c r="B84" t="s">
        <v>107</v>
      </c>
    </row>
    <row r="85" spans="1:2" x14ac:dyDescent="0.25">
      <c r="A85" t="s">
        <v>192</v>
      </c>
      <c r="B85" t="s">
        <v>107</v>
      </c>
    </row>
    <row r="86" spans="1:2" x14ac:dyDescent="0.25">
      <c r="A86" t="s">
        <v>193</v>
      </c>
      <c r="B86" t="s">
        <v>104</v>
      </c>
    </row>
    <row r="87" spans="1:2" x14ac:dyDescent="0.25">
      <c r="A87" t="s">
        <v>194</v>
      </c>
      <c r="B87" t="s">
        <v>107</v>
      </c>
    </row>
    <row r="88" spans="1:2" x14ac:dyDescent="0.25">
      <c r="A88" t="s">
        <v>195</v>
      </c>
      <c r="B88" t="s">
        <v>104</v>
      </c>
    </row>
    <row r="89" spans="1:2" x14ac:dyDescent="0.25">
      <c r="A89" t="s">
        <v>196</v>
      </c>
      <c r="B89" t="s">
        <v>104</v>
      </c>
    </row>
    <row r="90" spans="1:2" x14ac:dyDescent="0.25">
      <c r="A90" t="s">
        <v>197</v>
      </c>
      <c r="B90" t="s">
        <v>107</v>
      </c>
    </row>
    <row r="91" spans="1:2" x14ac:dyDescent="0.25">
      <c r="A91" t="s">
        <v>198</v>
      </c>
      <c r="B91" t="s">
        <v>106</v>
      </c>
    </row>
    <row r="92" spans="1:2" x14ac:dyDescent="0.25">
      <c r="A92" t="s">
        <v>199</v>
      </c>
      <c r="B92" t="s">
        <v>104</v>
      </c>
    </row>
    <row r="93" spans="1:2" x14ac:dyDescent="0.25">
      <c r="A93" t="s">
        <v>200</v>
      </c>
      <c r="B93" t="s">
        <v>104</v>
      </c>
    </row>
    <row r="94" spans="1:2" x14ac:dyDescent="0.25">
      <c r="A94" t="s">
        <v>201</v>
      </c>
      <c r="B94" t="s">
        <v>107</v>
      </c>
    </row>
    <row r="95" spans="1:2" x14ac:dyDescent="0.25">
      <c r="A95" t="s">
        <v>202</v>
      </c>
      <c r="B95" t="s">
        <v>104</v>
      </c>
    </row>
    <row r="96" spans="1:2" x14ac:dyDescent="0.25">
      <c r="A96" t="s">
        <v>203</v>
      </c>
      <c r="B96" t="s">
        <v>104</v>
      </c>
    </row>
    <row r="97" spans="1:2" x14ac:dyDescent="0.25">
      <c r="A97" t="s">
        <v>204</v>
      </c>
      <c r="B97" t="s">
        <v>107</v>
      </c>
    </row>
    <row r="98" spans="1:2" x14ac:dyDescent="0.25">
      <c r="A98" t="s">
        <v>205</v>
      </c>
      <c r="B98" t="s">
        <v>107</v>
      </c>
    </row>
    <row r="99" spans="1:2" x14ac:dyDescent="0.25">
      <c r="A99" t="s">
        <v>206</v>
      </c>
      <c r="B99" t="s">
        <v>104</v>
      </c>
    </row>
    <row r="100" spans="1:2" x14ac:dyDescent="0.25">
      <c r="A100" t="s">
        <v>207</v>
      </c>
      <c r="B100" t="s">
        <v>105</v>
      </c>
    </row>
    <row r="101" spans="1:2" x14ac:dyDescent="0.25">
      <c r="A101" t="s">
        <v>208</v>
      </c>
      <c r="B101" t="s">
        <v>104</v>
      </c>
    </row>
    <row r="102" spans="1:2" x14ac:dyDescent="0.25">
      <c r="A102" t="s">
        <v>209</v>
      </c>
      <c r="B102" t="s">
        <v>105</v>
      </c>
    </row>
    <row r="103" spans="1:2" x14ac:dyDescent="0.25">
      <c r="A103" t="s">
        <v>210</v>
      </c>
      <c r="B103" t="s">
        <v>104</v>
      </c>
    </row>
    <row r="104" spans="1:2" x14ac:dyDescent="0.25">
      <c r="A104" t="s">
        <v>211</v>
      </c>
      <c r="B104" t="s">
        <v>104</v>
      </c>
    </row>
    <row r="105" spans="1:2" x14ac:dyDescent="0.25">
      <c r="A105" t="s">
        <v>212</v>
      </c>
      <c r="B105" t="s">
        <v>107</v>
      </c>
    </row>
    <row r="106" spans="1:2" x14ac:dyDescent="0.25">
      <c r="A106" t="s">
        <v>213</v>
      </c>
      <c r="B106" t="s">
        <v>107</v>
      </c>
    </row>
    <row r="107" spans="1:2" x14ac:dyDescent="0.25">
      <c r="A107" t="s">
        <v>214</v>
      </c>
      <c r="B107" t="s">
        <v>104</v>
      </c>
    </row>
    <row r="108" spans="1:2" x14ac:dyDescent="0.25">
      <c r="A108" t="s">
        <v>215</v>
      </c>
      <c r="B108" t="s">
        <v>107</v>
      </c>
    </row>
    <row r="109" spans="1:2" x14ac:dyDescent="0.25">
      <c r="A109" t="s">
        <v>216</v>
      </c>
      <c r="B109" t="s">
        <v>104</v>
      </c>
    </row>
    <row r="110" spans="1:2" x14ac:dyDescent="0.25">
      <c r="A110" t="s">
        <v>217</v>
      </c>
      <c r="B110" t="s">
        <v>104</v>
      </c>
    </row>
    <row r="111" spans="1:2" x14ac:dyDescent="0.25">
      <c r="A111" t="s">
        <v>218</v>
      </c>
      <c r="B111" t="s">
        <v>104</v>
      </c>
    </row>
    <row r="112" spans="1:2" x14ac:dyDescent="0.25">
      <c r="A112" t="s">
        <v>219</v>
      </c>
      <c r="B112" t="s">
        <v>104</v>
      </c>
    </row>
    <row r="113" spans="1:2" x14ac:dyDescent="0.25">
      <c r="A113" t="s">
        <v>220</v>
      </c>
      <c r="B113" t="s">
        <v>104</v>
      </c>
    </row>
    <row r="114" spans="1:2" x14ac:dyDescent="0.25">
      <c r="A114" t="s">
        <v>221</v>
      </c>
      <c r="B114" t="s">
        <v>104</v>
      </c>
    </row>
    <row r="115" spans="1:2" x14ac:dyDescent="0.25">
      <c r="A115" t="s">
        <v>222</v>
      </c>
      <c r="B115" t="s">
        <v>104</v>
      </c>
    </row>
    <row r="116" spans="1:2" x14ac:dyDescent="0.25">
      <c r="A116" t="s">
        <v>223</v>
      </c>
      <c r="B116" t="s">
        <v>106</v>
      </c>
    </row>
    <row r="117" spans="1:2" x14ac:dyDescent="0.25">
      <c r="A117" t="s">
        <v>224</v>
      </c>
      <c r="B117" t="s">
        <v>104</v>
      </c>
    </row>
    <row r="118" spans="1:2" x14ac:dyDescent="0.25">
      <c r="A118" t="s">
        <v>225</v>
      </c>
      <c r="B118" t="s">
        <v>104</v>
      </c>
    </row>
    <row r="119" spans="1:2" x14ac:dyDescent="0.25">
      <c r="A119" t="s">
        <v>226</v>
      </c>
      <c r="B119" t="s">
        <v>104</v>
      </c>
    </row>
    <row r="120" spans="1:2" x14ac:dyDescent="0.25">
      <c r="A120" t="s">
        <v>227</v>
      </c>
      <c r="B120" t="s">
        <v>106</v>
      </c>
    </row>
    <row r="121" spans="1:2" x14ac:dyDescent="0.25">
      <c r="A121" t="s">
        <v>228</v>
      </c>
      <c r="B121" t="s">
        <v>104</v>
      </c>
    </row>
    <row r="122" spans="1:2" x14ac:dyDescent="0.25">
      <c r="A122" t="s">
        <v>229</v>
      </c>
      <c r="B122" t="s">
        <v>104</v>
      </c>
    </row>
    <row r="123" spans="1:2" x14ac:dyDescent="0.25">
      <c r="A123" t="s">
        <v>230</v>
      </c>
      <c r="B123" t="s">
        <v>107</v>
      </c>
    </row>
    <row r="124" spans="1:2" x14ac:dyDescent="0.25">
      <c r="A124" t="s">
        <v>231</v>
      </c>
      <c r="B124" t="s">
        <v>104</v>
      </c>
    </row>
    <row r="125" spans="1:2" x14ac:dyDescent="0.25">
      <c r="A125" t="s">
        <v>232</v>
      </c>
      <c r="B125" t="s">
        <v>104</v>
      </c>
    </row>
    <row r="126" spans="1:2" x14ac:dyDescent="0.25">
      <c r="A126" t="s">
        <v>233</v>
      </c>
      <c r="B126" t="s">
        <v>104</v>
      </c>
    </row>
    <row r="127" spans="1:2" x14ac:dyDescent="0.25">
      <c r="A127" t="s">
        <v>234</v>
      </c>
      <c r="B127" t="s">
        <v>104</v>
      </c>
    </row>
    <row r="128" spans="1:2" x14ac:dyDescent="0.25">
      <c r="A128" t="s">
        <v>235</v>
      </c>
      <c r="B128" t="s">
        <v>106</v>
      </c>
    </row>
    <row r="129" spans="1:2" x14ac:dyDescent="0.25">
      <c r="A129" t="s">
        <v>236</v>
      </c>
      <c r="B129" t="s">
        <v>106</v>
      </c>
    </row>
    <row r="130" spans="1:2" x14ac:dyDescent="0.25">
      <c r="A130" t="s">
        <v>237</v>
      </c>
      <c r="B130" t="s">
        <v>104</v>
      </c>
    </row>
    <row r="131" spans="1:2" x14ac:dyDescent="0.25">
      <c r="A131" t="s">
        <v>238</v>
      </c>
      <c r="B131" t="s">
        <v>104</v>
      </c>
    </row>
    <row r="132" spans="1:2" x14ac:dyDescent="0.25">
      <c r="A132" t="s">
        <v>239</v>
      </c>
      <c r="B132" t="s">
        <v>107</v>
      </c>
    </row>
    <row r="133" spans="1:2" x14ac:dyDescent="0.25">
      <c r="A133" t="s">
        <v>240</v>
      </c>
      <c r="B133" t="s">
        <v>107</v>
      </c>
    </row>
    <row r="134" spans="1:2" x14ac:dyDescent="0.25">
      <c r="A134" t="s">
        <v>241</v>
      </c>
      <c r="B134" t="s">
        <v>104</v>
      </c>
    </row>
    <row r="135" spans="1:2" x14ac:dyDescent="0.25">
      <c r="A135" t="s">
        <v>242</v>
      </c>
      <c r="B135" t="s">
        <v>106</v>
      </c>
    </row>
    <row r="136" spans="1:2" x14ac:dyDescent="0.25">
      <c r="A136" t="s">
        <v>243</v>
      </c>
      <c r="B136" t="s">
        <v>104</v>
      </c>
    </row>
    <row r="137" spans="1:2" x14ac:dyDescent="0.25">
      <c r="A137" t="s">
        <v>244</v>
      </c>
      <c r="B137" t="s">
        <v>104</v>
      </c>
    </row>
    <row r="138" spans="1:2" x14ac:dyDescent="0.25">
      <c r="A138" t="s">
        <v>245</v>
      </c>
      <c r="B138" t="s">
        <v>104</v>
      </c>
    </row>
    <row r="139" spans="1:2" x14ac:dyDescent="0.25">
      <c r="A139" t="s">
        <v>246</v>
      </c>
      <c r="B139" t="s">
        <v>107</v>
      </c>
    </row>
    <row r="140" spans="1:2" x14ac:dyDescent="0.25">
      <c r="A140" t="s">
        <v>247</v>
      </c>
      <c r="B140" t="s">
        <v>104</v>
      </c>
    </row>
    <row r="141" spans="1:2" x14ac:dyDescent="0.25">
      <c r="A141" t="s">
        <v>248</v>
      </c>
      <c r="B141" t="s">
        <v>104</v>
      </c>
    </row>
    <row r="142" spans="1:2" x14ac:dyDescent="0.25">
      <c r="A142" t="s">
        <v>249</v>
      </c>
      <c r="B142" t="s">
        <v>105</v>
      </c>
    </row>
    <row r="143" spans="1:2" x14ac:dyDescent="0.25">
      <c r="A143" t="s">
        <v>250</v>
      </c>
      <c r="B143" t="s">
        <v>104</v>
      </c>
    </row>
    <row r="144" spans="1:2" x14ac:dyDescent="0.25">
      <c r="A144" t="s">
        <v>251</v>
      </c>
      <c r="B144" t="s">
        <v>106</v>
      </c>
    </row>
    <row r="145" spans="1:2" x14ac:dyDescent="0.25">
      <c r="A145" t="s">
        <v>252</v>
      </c>
      <c r="B145" t="s">
        <v>104</v>
      </c>
    </row>
    <row r="146" spans="1:2" x14ac:dyDescent="0.25">
      <c r="A146" t="s">
        <v>253</v>
      </c>
      <c r="B146" t="s">
        <v>104</v>
      </c>
    </row>
    <row r="147" spans="1:2" x14ac:dyDescent="0.25">
      <c r="A147" t="s">
        <v>254</v>
      </c>
      <c r="B147" t="s">
        <v>104</v>
      </c>
    </row>
    <row r="148" spans="1:2" x14ac:dyDescent="0.25">
      <c r="A148" t="s">
        <v>255</v>
      </c>
      <c r="B148" t="s">
        <v>104</v>
      </c>
    </row>
    <row r="149" spans="1:2" x14ac:dyDescent="0.25">
      <c r="A149" t="s">
        <v>256</v>
      </c>
      <c r="B149" t="s">
        <v>104</v>
      </c>
    </row>
    <row r="150" spans="1:2" x14ac:dyDescent="0.25">
      <c r="A150" t="s">
        <v>257</v>
      </c>
      <c r="B150" t="s">
        <v>104</v>
      </c>
    </row>
    <row r="151" spans="1:2" x14ac:dyDescent="0.25">
      <c r="A151" t="s">
        <v>258</v>
      </c>
      <c r="B151" t="s">
        <v>104</v>
      </c>
    </row>
    <row r="152" spans="1:2" x14ac:dyDescent="0.25">
      <c r="A152" t="s">
        <v>259</v>
      </c>
      <c r="B152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B6A5-5AA9-4A78-BD4B-B992A7769CFC}">
  <dimension ref="A1:B97"/>
  <sheetViews>
    <sheetView workbookViewId="0">
      <selection activeCell="B1" sqref="B1:B1048576"/>
    </sheetView>
  </sheetViews>
  <sheetFormatPr baseColWidth="10" defaultRowHeight="15" x14ac:dyDescent="0.25"/>
  <sheetData>
    <row r="1" spans="1:2" x14ac:dyDescent="0.25">
      <c r="A1" t="s">
        <v>3</v>
      </c>
      <c r="B1" t="s">
        <v>104</v>
      </c>
    </row>
    <row r="2" spans="1:2" x14ac:dyDescent="0.25">
      <c r="A2" t="s">
        <v>4</v>
      </c>
      <c r="B2" t="s">
        <v>104</v>
      </c>
    </row>
    <row r="3" spans="1:2" x14ac:dyDescent="0.25">
      <c r="A3" t="s">
        <v>2</v>
      </c>
      <c r="B3" t="s">
        <v>104</v>
      </c>
    </row>
    <row r="4" spans="1:2" x14ac:dyDescent="0.25">
      <c r="A4" t="s">
        <v>1</v>
      </c>
      <c r="B4" t="s">
        <v>106</v>
      </c>
    </row>
    <row r="5" spans="1:2" x14ac:dyDescent="0.25">
      <c r="A5" t="s">
        <v>5</v>
      </c>
      <c r="B5" t="s">
        <v>104</v>
      </c>
    </row>
    <row r="6" spans="1:2" x14ac:dyDescent="0.25">
      <c r="A6" t="s">
        <v>6</v>
      </c>
      <c r="B6" t="s">
        <v>104</v>
      </c>
    </row>
    <row r="7" spans="1:2" x14ac:dyDescent="0.25">
      <c r="A7" t="s">
        <v>27</v>
      </c>
      <c r="B7" t="s">
        <v>104</v>
      </c>
    </row>
    <row r="8" spans="1:2" x14ac:dyDescent="0.25">
      <c r="A8" t="s">
        <v>28</v>
      </c>
      <c r="B8" t="s">
        <v>107</v>
      </c>
    </row>
    <row r="9" spans="1:2" x14ac:dyDescent="0.25">
      <c r="A9" t="s">
        <v>29</v>
      </c>
      <c r="B9" t="s">
        <v>107</v>
      </c>
    </row>
    <row r="10" spans="1:2" x14ac:dyDescent="0.25">
      <c r="A10" t="s">
        <v>30</v>
      </c>
      <c r="B10" t="s">
        <v>107</v>
      </c>
    </row>
    <row r="11" spans="1:2" x14ac:dyDescent="0.25">
      <c r="A11" t="s">
        <v>31</v>
      </c>
      <c r="B11" t="s">
        <v>107</v>
      </c>
    </row>
    <row r="12" spans="1:2" x14ac:dyDescent="0.25">
      <c r="A12" t="s">
        <v>32</v>
      </c>
      <c r="B12" t="s">
        <v>107</v>
      </c>
    </row>
    <row r="13" spans="1:2" x14ac:dyDescent="0.25">
      <c r="A13" t="s">
        <v>33</v>
      </c>
      <c r="B13" t="s">
        <v>107</v>
      </c>
    </row>
    <row r="14" spans="1:2" x14ac:dyDescent="0.25">
      <c r="A14" t="s">
        <v>34</v>
      </c>
      <c r="B14" t="s">
        <v>107</v>
      </c>
    </row>
    <row r="15" spans="1:2" x14ac:dyDescent="0.25">
      <c r="A15" t="s">
        <v>7</v>
      </c>
      <c r="B15" t="s">
        <v>107</v>
      </c>
    </row>
    <row r="16" spans="1:2" x14ac:dyDescent="0.25">
      <c r="A16" t="s">
        <v>35</v>
      </c>
      <c r="B16" t="s">
        <v>107</v>
      </c>
    </row>
    <row r="17" spans="1:2" x14ac:dyDescent="0.25">
      <c r="A17" t="s">
        <v>9</v>
      </c>
      <c r="B17" t="s">
        <v>107</v>
      </c>
    </row>
    <row r="18" spans="1:2" x14ac:dyDescent="0.25">
      <c r="A18" t="s">
        <v>36</v>
      </c>
      <c r="B18" t="s">
        <v>107</v>
      </c>
    </row>
    <row r="19" spans="1:2" x14ac:dyDescent="0.25">
      <c r="A19" t="s">
        <v>10</v>
      </c>
      <c r="B19" t="s">
        <v>104</v>
      </c>
    </row>
    <row r="20" spans="1:2" x14ac:dyDescent="0.25">
      <c r="A20" t="s">
        <v>11</v>
      </c>
      <c r="B20" t="s">
        <v>104</v>
      </c>
    </row>
    <row r="21" spans="1:2" x14ac:dyDescent="0.25">
      <c r="A21" t="s">
        <v>12</v>
      </c>
      <c r="B21" t="s">
        <v>104</v>
      </c>
    </row>
    <row r="22" spans="1:2" x14ac:dyDescent="0.25">
      <c r="A22" t="s">
        <v>13</v>
      </c>
      <c r="B22" t="s">
        <v>104</v>
      </c>
    </row>
    <row r="23" spans="1:2" x14ac:dyDescent="0.25">
      <c r="A23" t="s">
        <v>37</v>
      </c>
      <c r="B23" t="s">
        <v>107</v>
      </c>
    </row>
    <row r="24" spans="1:2" x14ac:dyDescent="0.25">
      <c r="A24" t="s">
        <v>38</v>
      </c>
      <c r="B24" t="s">
        <v>107</v>
      </c>
    </row>
    <row r="25" spans="1:2" x14ac:dyDescent="0.25">
      <c r="A25" t="s">
        <v>17</v>
      </c>
      <c r="B25" t="s">
        <v>104</v>
      </c>
    </row>
    <row r="26" spans="1:2" x14ac:dyDescent="0.25">
      <c r="A26" t="s">
        <v>39</v>
      </c>
      <c r="B26" t="s">
        <v>107</v>
      </c>
    </row>
    <row r="27" spans="1:2" x14ac:dyDescent="0.25">
      <c r="A27" t="s">
        <v>40</v>
      </c>
      <c r="B27" t="s">
        <v>107</v>
      </c>
    </row>
    <row r="28" spans="1:2" x14ac:dyDescent="0.25">
      <c r="A28" t="s">
        <v>15</v>
      </c>
      <c r="B28" t="s">
        <v>104</v>
      </c>
    </row>
    <row r="29" spans="1:2" x14ac:dyDescent="0.25">
      <c r="A29" t="s">
        <v>25</v>
      </c>
      <c r="B29" t="s">
        <v>104</v>
      </c>
    </row>
    <row r="30" spans="1:2" x14ac:dyDescent="0.25">
      <c r="A30" t="s">
        <v>41</v>
      </c>
      <c r="B30" t="s">
        <v>104</v>
      </c>
    </row>
    <row r="31" spans="1:2" x14ac:dyDescent="0.25">
      <c r="A31" t="s">
        <v>42</v>
      </c>
      <c r="B31" t="s">
        <v>104</v>
      </c>
    </row>
    <row r="32" spans="1:2" x14ac:dyDescent="0.25">
      <c r="A32" t="s">
        <v>43</v>
      </c>
      <c r="B32" t="s">
        <v>107</v>
      </c>
    </row>
    <row r="33" spans="1:2" x14ac:dyDescent="0.25">
      <c r="A33" t="s">
        <v>44</v>
      </c>
      <c r="B33" t="s">
        <v>107</v>
      </c>
    </row>
    <row r="34" spans="1:2" x14ac:dyDescent="0.25">
      <c r="A34" t="s">
        <v>45</v>
      </c>
      <c r="B34" t="s">
        <v>107</v>
      </c>
    </row>
    <row r="35" spans="1:2" x14ac:dyDescent="0.25">
      <c r="A35" t="s">
        <v>16</v>
      </c>
      <c r="B35" t="s">
        <v>104</v>
      </c>
    </row>
    <row r="36" spans="1:2" x14ac:dyDescent="0.25">
      <c r="A36" t="s">
        <v>46</v>
      </c>
      <c r="B36" t="s">
        <v>107</v>
      </c>
    </row>
    <row r="37" spans="1:2" x14ac:dyDescent="0.25">
      <c r="A37" t="s">
        <v>47</v>
      </c>
      <c r="B37" t="s">
        <v>104</v>
      </c>
    </row>
    <row r="38" spans="1:2" x14ac:dyDescent="0.25">
      <c r="A38" t="s">
        <v>48</v>
      </c>
      <c r="B38" t="s">
        <v>107</v>
      </c>
    </row>
    <row r="39" spans="1:2" x14ac:dyDescent="0.25">
      <c r="A39" t="s">
        <v>49</v>
      </c>
      <c r="B39" t="s">
        <v>104</v>
      </c>
    </row>
    <row r="40" spans="1:2" x14ac:dyDescent="0.25">
      <c r="A40" t="s">
        <v>50</v>
      </c>
      <c r="B40" t="s">
        <v>107</v>
      </c>
    </row>
    <row r="41" spans="1:2" x14ac:dyDescent="0.25">
      <c r="A41" t="s">
        <v>51</v>
      </c>
      <c r="B41" t="s">
        <v>107</v>
      </c>
    </row>
    <row r="42" spans="1:2" x14ac:dyDescent="0.25">
      <c r="A42" t="s">
        <v>52</v>
      </c>
      <c r="B42" t="s">
        <v>107</v>
      </c>
    </row>
    <row r="43" spans="1:2" x14ac:dyDescent="0.25">
      <c r="A43" t="s">
        <v>19</v>
      </c>
      <c r="B43" t="s">
        <v>107</v>
      </c>
    </row>
    <row r="44" spans="1:2" x14ac:dyDescent="0.25">
      <c r="A44" t="s">
        <v>53</v>
      </c>
      <c r="B44" t="s">
        <v>104</v>
      </c>
    </row>
    <row r="45" spans="1:2" x14ac:dyDescent="0.25">
      <c r="A45" t="s">
        <v>18</v>
      </c>
      <c r="B45" t="s">
        <v>104</v>
      </c>
    </row>
    <row r="46" spans="1:2" x14ac:dyDescent="0.25">
      <c r="A46" t="s">
        <v>20</v>
      </c>
      <c r="B46" t="s">
        <v>104</v>
      </c>
    </row>
    <row r="47" spans="1:2" x14ac:dyDescent="0.25">
      <c r="A47" t="s">
        <v>54</v>
      </c>
      <c r="B47" t="s">
        <v>104</v>
      </c>
    </row>
    <row r="48" spans="1:2" x14ac:dyDescent="0.25">
      <c r="A48" t="s">
        <v>55</v>
      </c>
      <c r="B48" t="s">
        <v>107</v>
      </c>
    </row>
    <row r="49" spans="1:2" x14ac:dyDescent="0.25">
      <c r="A49" t="s">
        <v>56</v>
      </c>
      <c r="B49" t="s">
        <v>107</v>
      </c>
    </row>
    <row r="50" spans="1:2" x14ac:dyDescent="0.25">
      <c r="A50" t="s">
        <v>57</v>
      </c>
      <c r="B50" t="s">
        <v>105</v>
      </c>
    </row>
    <row r="51" spans="1:2" x14ac:dyDescent="0.25">
      <c r="A51" t="s">
        <v>22</v>
      </c>
      <c r="B51" t="s">
        <v>104</v>
      </c>
    </row>
    <row r="52" spans="1:2" x14ac:dyDescent="0.25">
      <c r="A52" t="s">
        <v>21</v>
      </c>
      <c r="B52" t="s">
        <v>107</v>
      </c>
    </row>
    <row r="53" spans="1:2" x14ac:dyDescent="0.25">
      <c r="A53" t="s">
        <v>58</v>
      </c>
      <c r="B53" t="s">
        <v>105</v>
      </c>
    </row>
    <row r="54" spans="1:2" x14ac:dyDescent="0.25">
      <c r="A54" t="s">
        <v>59</v>
      </c>
      <c r="B54" t="s">
        <v>105</v>
      </c>
    </row>
    <row r="55" spans="1:2" x14ac:dyDescent="0.25">
      <c r="A55" t="s">
        <v>60</v>
      </c>
      <c r="B55" t="s">
        <v>104</v>
      </c>
    </row>
    <row r="56" spans="1:2" x14ac:dyDescent="0.25">
      <c r="A56" t="s">
        <v>61</v>
      </c>
      <c r="B56" t="s">
        <v>106</v>
      </c>
    </row>
    <row r="57" spans="1:2" x14ac:dyDescent="0.25">
      <c r="A57" t="s">
        <v>8</v>
      </c>
      <c r="B57" t="s">
        <v>107</v>
      </c>
    </row>
    <row r="58" spans="1:2" x14ac:dyDescent="0.25">
      <c r="A58" t="s">
        <v>62</v>
      </c>
      <c r="B58" t="s">
        <v>107</v>
      </c>
    </row>
    <row r="59" spans="1:2" x14ac:dyDescent="0.25">
      <c r="A59" t="s">
        <v>23</v>
      </c>
      <c r="B59" t="s">
        <v>107</v>
      </c>
    </row>
    <row r="60" spans="1:2" x14ac:dyDescent="0.25">
      <c r="A60" t="s">
        <v>24</v>
      </c>
      <c r="B60" t="s">
        <v>107</v>
      </c>
    </row>
    <row r="61" spans="1:2" x14ac:dyDescent="0.25">
      <c r="A61" t="s">
        <v>63</v>
      </c>
      <c r="B61" t="s">
        <v>107</v>
      </c>
    </row>
    <row r="62" spans="1:2" x14ac:dyDescent="0.25">
      <c r="A62" t="s">
        <v>64</v>
      </c>
      <c r="B62" t="s">
        <v>107</v>
      </c>
    </row>
    <row r="63" spans="1:2" x14ac:dyDescent="0.25">
      <c r="A63" t="s">
        <v>65</v>
      </c>
      <c r="B63" t="s">
        <v>107</v>
      </c>
    </row>
    <row r="64" spans="1:2" x14ac:dyDescent="0.25">
      <c r="A64" t="s">
        <v>66</v>
      </c>
      <c r="B64" t="s">
        <v>107</v>
      </c>
    </row>
    <row r="65" spans="1:2" x14ac:dyDescent="0.25">
      <c r="A65" t="s">
        <v>67</v>
      </c>
      <c r="B65" t="s">
        <v>107</v>
      </c>
    </row>
    <row r="66" spans="1:2" x14ac:dyDescent="0.25">
      <c r="A66" t="s">
        <v>26</v>
      </c>
      <c r="B66" t="s">
        <v>104</v>
      </c>
    </row>
    <row r="67" spans="1:2" x14ac:dyDescent="0.25">
      <c r="A67" t="s">
        <v>68</v>
      </c>
      <c r="B67" t="s">
        <v>104</v>
      </c>
    </row>
    <row r="68" spans="1:2" x14ac:dyDescent="0.25">
      <c r="A68" t="s">
        <v>69</v>
      </c>
      <c r="B68" t="s">
        <v>107</v>
      </c>
    </row>
    <row r="69" spans="1:2" x14ac:dyDescent="0.25">
      <c r="A69" t="s">
        <v>70</v>
      </c>
      <c r="B69" t="s">
        <v>107</v>
      </c>
    </row>
    <row r="70" spans="1:2" x14ac:dyDescent="0.25">
      <c r="A70" t="s">
        <v>71</v>
      </c>
      <c r="B70" t="s">
        <v>107</v>
      </c>
    </row>
    <row r="71" spans="1:2" x14ac:dyDescent="0.25">
      <c r="A71" t="s">
        <v>14</v>
      </c>
      <c r="B71" t="s">
        <v>104</v>
      </c>
    </row>
    <row r="72" spans="1:2" x14ac:dyDescent="0.25">
      <c r="A72" t="s">
        <v>72</v>
      </c>
      <c r="B72" t="s">
        <v>107</v>
      </c>
    </row>
    <row r="73" spans="1:2" x14ac:dyDescent="0.25">
      <c r="A73" t="s">
        <v>73</v>
      </c>
      <c r="B73" t="s">
        <v>104</v>
      </c>
    </row>
    <row r="74" spans="1:2" x14ac:dyDescent="0.25">
      <c r="A74" t="s">
        <v>74</v>
      </c>
      <c r="B74" t="s">
        <v>104</v>
      </c>
    </row>
    <row r="75" spans="1:2" x14ac:dyDescent="0.25">
      <c r="A75" t="s">
        <v>75</v>
      </c>
      <c r="B75" t="s">
        <v>107</v>
      </c>
    </row>
    <row r="76" spans="1:2" x14ac:dyDescent="0.25">
      <c r="A76" t="s">
        <v>76</v>
      </c>
      <c r="B76" t="s">
        <v>106</v>
      </c>
    </row>
    <row r="77" spans="1:2" x14ac:dyDescent="0.25">
      <c r="A77" t="s">
        <v>77</v>
      </c>
      <c r="B77" t="s">
        <v>104</v>
      </c>
    </row>
    <row r="78" spans="1:2" x14ac:dyDescent="0.25">
      <c r="A78" t="s">
        <v>78</v>
      </c>
      <c r="B78" t="s">
        <v>105</v>
      </c>
    </row>
    <row r="79" spans="1:2" x14ac:dyDescent="0.25">
      <c r="A79" t="s">
        <v>79</v>
      </c>
      <c r="B79" t="s">
        <v>107</v>
      </c>
    </row>
    <row r="80" spans="1:2" x14ac:dyDescent="0.25">
      <c r="A80" t="s">
        <v>80</v>
      </c>
      <c r="B80" t="s">
        <v>104</v>
      </c>
    </row>
    <row r="81" spans="1:2" x14ac:dyDescent="0.25">
      <c r="A81" t="s">
        <v>81</v>
      </c>
      <c r="B81" t="s">
        <v>104</v>
      </c>
    </row>
    <row r="82" spans="1:2" x14ac:dyDescent="0.25">
      <c r="A82" t="s">
        <v>82</v>
      </c>
      <c r="B82" t="s">
        <v>107</v>
      </c>
    </row>
    <row r="83" spans="1:2" x14ac:dyDescent="0.25">
      <c r="A83" t="s">
        <v>83</v>
      </c>
      <c r="B83" t="s">
        <v>104</v>
      </c>
    </row>
    <row r="84" spans="1:2" x14ac:dyDescent="0.25">
      <c r="A84" t="s">
        <v>84</v>
      </c>
      <c r="B84" t="s">
        <v>104</v>
      </c>
    </row>
    <row r="85" spans="1:2" x14ac:dyDescent="0.25">
      <c r="A85" t="s">
        <v>85</v>
      </c>
      <c r="B85" t="s">
        <v>107</v>
      </c>
    </row>
    <row r="86" spans="1:2" x14ac:dyDescent="0.25">
      <c r="A86" t="s">
        <v>86</v>
      </c>
      <c r="B86" t="s">
        <v>105</v>
      </c>
    </row>
    <row r="87" spans="1:2" x14ac:dyDescent="0.25">
      <c r="A87" t="s">
        <v>87</v>
      </c>
      <c r="B87" t="s">
        <v>107</v>
      </c>
    </row>
    <row r="88" spans="1:2" x14ac:dyDescent="0.25">
      <c r="A88" t="s">
        <v>88</v>
      </c>
      <c r="B88" t="s">
        <v>107</v>
      </c>
    </row>
    <row r="89" spans="1:2" x14ac:dyDescent="0.25">
      <c r="A89" t="s">
        <v>89</v>
      </c>
      <c r="B89" t="s">
        <v>107</v>
      </c>
    </row>
    <row r="90" spans="1:2" x14ac:dyDescent="0.25">
      <c r="A90" t="s">
        <v>90</v>
      </c>
      <c r="B90" t="s">
        <v>105</v>
      </c>
    </row>
    <row r="91" spans="1:2" x14ac:dyDescent="0.25">
      <c r="A91" t="s">
        <v>91</v>
      </c>
      <c r="B91" t="s">
        <v>107</v>
      </c>
    </row>
    <row r="92" spans="1:2" x14ac:dyDescent="0.25">
      <c r="A92" t="s">
        <v>92</v>
      </c>
      <c r="B92" t="s">
        <v>107</v>
      </c>
    </row>
    <row r="93" spans="1:2" x14ac:dyDescent="0.25">
      <c r="A93" t="s">
        <v>93</v>
      </c>
      <c r="B93" t="s">
        <v>104</v>
      </c>
    </row>
    <row r="94" spans="1:2" x14ac:dyDescent="0.25">
      <c r="A94" t="s">
        <v>94</v>
      </c>
      <c r="B94" t="s">
        <v>107</v>
      </c>
    </row>
    <row r="95" spans="1:2" x14ac:dyDescent="0.25">
      <c r="A95" t="s">
        <v>95</v>
      </c>
      <c r="B95" t="s">
        <v>104</v>
      </c>
    </row>
    <row r="96" spans="1:2" x14ac:dyDescent="0.25">
      <c r="A96" t="s">
        <v>96</v>
      </c>
      <c r="B96" t="s">
        <v>104</v>
      </c>
    </row>
    <row r="97" spans="1:2" x14ac:dyDescent="0.25">
      <c r="A97" t="s">
        <v>97</v>
      </c>
      <c r="B9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Emcabezado</vt:lpstr>
      <vt:lpstr>Detalle</vt:lpstr>
      <vt:lpstr>TRANSA01</vt:lpstr>
      <vt:lpstr>TRADETALLE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2024-11-13T20:22:40Z</dcterms:created>
  <dcterms:modified xsi:type="dcterms:W3CDTF">2024-11-19T16:35:56Z</dcterms:modified>
</cp:coreProperties>
</file>